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8th semester\"/>
    </mc:Choice>
  </mc:AlternateContent>
  <bookViews>
    <workbookView xWindow="40815" yWindow="-105" windowWidth="19425" windowHeight="1042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121" i="1" l="1"/>
  <c r="J134" i="1"/>
  <c r="J133" i="1"/>
  <c r="M121" i="1"/>
  <c r="M122" i="1"/>
  <c r="M123" i="1"/>
  <c r="M124" i="1"/>
  <c r="H121" i="1" l="1"/>
  <c r="H122" i="1"/>
  <c r="H123" i="1"/>
  <c r="H124" i="1"/>
  <c r="K180" i="1" l="1"/>
  <c r="M172" i="1" l="1"/>
  <c r="K176" i="1"/>
  <c r="K173" i="1"/>
  <c r="G164" i="1"/>
  <c r="M167" i="1" l="1"/>
  <c r="K167" i="1"/>
  <c r="K165" i="1"/>
  <c r="C172" i="1" l="1"/>
  <c r="O107" i="1" l="1"/>
  <c r="P107" i="1"/>
  <c r="O108" i="1"/>
  <c r="O109" i="1"/>
  <c r="O110" i="1"/>
  <c r="P108" i="1"/>
  <c r="P109" i="1"/>
  <c r="P110" i="1"/>
  <c r="E167" i="1" l="1"/>
  <c r="Q77" i="1" l="1"/>
  <c r="J107" i="1"/>
  <c r="P34" i="1" l="1"/>
  <c r="B34" i="1"/>
  <c r="E2" i="1"/>
  <c r="O77" i="1" s="1"/>
  <c r="R6" i="1" l="1"/>
  <c r="Z3" i="1" l="1"/>
  <c r="S6" i="1"/>
  <c r="E7" i="1"/>
  <c r="H1" i="1" l="1"/>
  <c r="O78" i="1"/>
  <c r="F7" i="1"/>
  <c r="Z2" i="1"/>
  <c r="V6" i="1" s="1"/>
  <c r="H25" i="1" s="1"/>
  <c r="H7" i="1"/>
  <c r="K116" i="1"/>
  <c r="K117" i="1"/>
  <c r="K118" i="1"/>
  <c r="Q78" i="1" l="1"/>
  <c r="V7" i="1"/>
  <c r="H26" i="1" s="1"/>
  <c r="I36" i="1" s="1"/>
  <c r="V8" i="1"/>
  <c r="H27" i="1" s="1"/>
  <c r="V9" i="1"/>
  <c r="H28" i="1" s="1"/>
  <c r="O6" i="1"/>
  <c r="B8" i="1"/>
  <c r="O80" i="1" s="1"/>
  <c r="Q80" i="1" s="1"/>
  <c r="B9" i="1"/>
  <c r="O81" i="1" s="1"/>
  <c r="Q81" i="1" s="1"/>
  <c r="H9" i="1" l="1"/>
  <c r="O8" i="1" s="1"/>
  <c r="V11" i="1" s="1"/>
  <c r="H30" i="1" s="1"/>
  <c r="C25" i="1"/>
  <c r="G122" i="1" l="1"/>
  <c r="L122" i="1" s="1"/>
  <c r="G123" i="1"/>
  <c r="L123" i="1" s="1"/>
  <c r="G124" i="1"/>
  <c r="L124" i="1" s="1"/>
  <c r="G125" i="1"/>
  <c r="L125" i="1" s="1"/>
  <c r="B25" i="1" l="1"/>
  <c r="G121" i="1" l="1"/>
  <c r="L121" i="1" s="1"/>
  <c r="K115" i="1"/>
  <c r="B28" i="1"/>
  <c r="C28" i="1"/>
  <c r="D28" i="1"/>
  <c r="P38" i="1"/>
  <c r="O31" i="1"/>
  <c r="E26" i="1"/>
  <c r="B31" i="1"/>
  <c r="B38" i="1" l="1"/>
  <c r="C26" i="1" l="1"/>
  <c r="B26" i="1"/>
  <c r="P21" i="1" l="1"/>
  <c r="O29" i="1"/>
  <c r="O28" i="1" l="1"/>
  <c r="T21" i="1"/>
  <c r="P31" i="1" s="1"/>
  <c r="G21" i="1"/>
  <c r="F26" i="1" s="1"/>
  <c r="B21" i="1"/>
  <c r="C21" i="1" s="1"/>
  <c r="D27" i="1"/>
  <c r="D25" i="1"/>
  <c r="O25" i="1" s="1"/>
  <c r="D30" i="1"/>
  <c r="D29" i="1"/>
  <c r="C30" i="1"/>
  <c r="C29" i="1"/>
  <c r="C27" i="1"/>
  <c r="B29" i="1"/>
  <c r="B30" i="1"/>
  <c r="B27" i="1"/>
  <c r="E25" i="1" l="1"/>
  <c r="F25" i="1" s="1"/>
  <c r="P25" i="1"/>
  <c r="E29" i="1"/>
  <c r="F29" i="1" s="1"/>
  <c r="E31" i="1"/>
  <c r="F31" i="1" s="1"/>
  <c r="E28" i="1"/>
  <c r="F28" i="1" s="1"/>
  <c r="E30" i="1"/>
  <c r="F30" i="1" s="1"/>
  <c r="O30" i="1"/>
  <c r="P30" i="1" s="1"/>
  <c r="E27" i="1"/>
  <c r="F27" i="1" s="1"/>
  <c r="P28" i="1"/>
  <c r="P27" i="1"/>
  <c r="P26" i="1"/>
  <c r="P29" i="1"/>
  <c r="B7" i="1" l="1"/>
  <c r="O79" i="1" s="1"/>
  <c r="H10" i="1"/>
  <c r="O9" i="1" s="1"/>
  <c r="Q79" i="1" l="1"/>
  <c r="Q82" i="1" s="1"/>
  <c r="O82" i="1"/>
  <c r="B10" i="1"/>
  <c r="V12" i="1"/>
  <c r="H8" i="1"/>
  <c r="H11" i="1" s="1"/>
  <c r="B15" i="1" l="1"/>
  <c r="P87" i="1"/>
  <c r="C8" i="1"/>
  <c r="C9" i="1"/>
  <c r="C7" i="1"/>
  <c r="H31" i="1"/>
  <c r="H15" i="1"/>
  <c r="K107" i="1" s="1"/>
  <c r="O7" i="1"/>
  <c r="M107" i="1" l="1"/>
  <c r="L107" i="1"/>
  <c r="C10" i="1"/>
  <c r="V10" i="1"/>
  <c r="V13" i="1" s="1"/>
  <c r="O10" i="1"/>
  <c r="O15" i="1" s="1"/>
  <c r="I9" i="1"/>
  <c r="C100" i="1" s="1"/>
  <c r="I7" i="1"/>
  <c r="C95" i="1" s="1"/>
  <c r="I10" i="1"/>
  <c r="C101" i="1" s="1"/>
  <c r="I8" i="1"/>
  <c r="C99" i="1" s="1"/>
  <c r="L115" i="1" l="1"/>
  <c r="N107" i="1"/>
  <c r="P8" i="1"/>
  <c r="P6" i="1"/>
  <c r="P9" i="1"/>
  <c r="I11" i="1"/>
  <c r="P7" i="1"/>
  <c r="H29" i="1"/>
  <c r="H32" i="1" s="1"/>
  <c r="K159" i="1" s="1"/>
  <c r="V15" i="1"/>
  <c r="K108" i="1" s="1"/>
  <c r="M115" i="1" l="1"/>
  <c r="N115" i="1"/>
  <c r="C39" i="1"/>
  <c r="L146" i="1" s="1"/>
  <c r="H43" i="1"/>
  <c r="C35" i="1"/>
  <c r="L147" i="1" s="1"/>
  <c r="W10" i="1"/>
  <c r="G29" i="1" s="1"/>
  <c r="H147" i="1" s="1"/>
  <c r="I147" i="1" s="1"/>
  <c r="W8" i="1"/>
  <c r="G27" i="1" s="1"/>
  <c r="H145" i="1" s="1"/>
  <c r="I145" i="1" s="1"/>
  <c r="W7" i="1"/>
  <c r="G26" i="1" s="1"/>
  <c r="W6" i="1"/>
  <c r="W9" i="1"/>
  <c r="G28" i="1" s="1"/>
  <c r="H146" i="1" s="1"/>
  <c r="I146" i="1" s="1"/>
  <c r="W11" i="1"/>
  <c r="G30" i="1" s="1"/>
  <c r="H148" i="1" s="1"/>
  <c r="I148" i="1" s="1"/>
  <c r="W12" i="1"/>
  <c r="G31" i="1" s="1"/>
  <c r="H149" i="1" s="1"/>
  <c r="I149" i="1" s="1"/>
  <c r="P10" i="1"/>
  <c r="H96" i="1" l="1"/>
  <c r="H144" i="1"/>
  <c r="I144" i="1" s="1"/>
  <c r="I122" i="1"/>
  <c r="O115" i="1"/>
  <c r="Q35" i="1"/>
  <c r="Q39" i="1"/>
  <c r="W13" i="1"/>
  <c r="G25" i="1"/>
  <c r="H101" i="1"/>
  <c r="I101" i="1" s="1"/>
  <c r="I31" i="1"/>
  <c r="I26" i="1"/>
  <c r="F144" i="1" s="1"/>
  <c r="G144" i="1" s="1"/>
  <c r="I96" i="1"/>
  <c r="H100" i="1"/>
  <c r="I100" i="1" s="1"/>
  <c r="I30" i="1"/>
  <c r="F148" i="1" s="1"/>
  <c r="G148" i="1" s="1"/>
  <c r="H97" i="1"/>
  <c r="I97" i="1" s="1"/>
  <c r="I27" i="1"/>
  <c r="F145" i="1" s="1"/>
  <c r="G145" i="1" s="1"/>
  <c r="H98" i="1"/>
  <c r="I98" i="1" s="1"/>
  <c r="I28" i="1"/>
  <c r="F146" i="1" s="1"/>
  <c r="G146" i="1" s="1"/>
  <c r="H99" i="1"/>
  <c r="I99" i="1" s="1"/>
  <c r="I29" i="1"/>
  <c r="F147" i="1" s="1"/>
  <c r="G147" i="1" s="1"/>
  <c r="I25" i="1" l="1"/>
  <c r="F143" i="1" s="1"/>
  <c r="G143" i="1" s="1"/>
  <c r="H143" i="1"/>
  <c r="I143" i="1" s="1"/>
  <c r="I150" i="1" s="1"/>
  <c r="K158" i="1" s="1"/>
  <c r="K160" i="1" s="1"/>
  <c r="K161" i="1" s="1"/>
  <c r="K163" i="1" s="1"/>
  <c r="M163" i="1" s="1"/>
  <c r="K31" i="1"/>
  <c r="D149" i="1" s="1"/>
  <c r="E149" i="1" s="1"/>
  <c r="F149" i="1"/>
  <c r="G149" i="1" s="1"/>
  <c r="G150" i="1" s="1"/>
  <c r="L144" i="1" s="1"/>
  <c r="C159" i="1" s="1"/>
  <c r="D41" i="1"/>
  <c r="C54" i="1"/>
  <c r="J31" i="1"/>
  <c r="B54" i="1" s="1"/>
  <c r="H52" i="1" s="1"/>
  <c r="C52" i="1"/>
  <c r="K29" i="1"/>
  <c r="D147" i="1" s="1"/>
  <c r="E147" i="1" s="1"/>
  <c r="J29" i="1"/>
  <c r="B52" i="1" s="1"/>
  <c r="E49" i="1" s="1"/>
  <c r="C50" i="1"/>
  <c r="K27" i="1"/>
  <c r="D145" i="1" s="1"/>
  <c r="E145" i="1" s="1"/>
  <c r="J27" i="1"/>
  <c r="B50" i="1" s="1"/>
  <c r="H49" i="1" s="1"/>
  <c r="G32" i="1"/>
  <c r="H95" i="1"/>
  <c r="I95" i="1" s="1"/>
  <c r="I102" i="1" s="1"/>
  <c r="J25" i="1"/>
  <c r="C51" i="1"/>
  <c r="K28" i="1"/>
  <c r="J28" i="1"/>
  <c r="C53" i="1"/>
  <c r="J30" i="1"/>
  <c r="B53" i="1" s="1"/>
  <c r="H51" i="1" s="1"/>
  <c r="K30" i="1"/>
  <c r="D148" i="1" s="1"/>
  <c r="E148" i="1" s="1"/>
  <c r="K26" i="1"/>
  <c r="D144" i="1" s="1"/>
  <c r="E144" i="1" s="1"/>
  <c r="J26" i="1"/>
  <c r="E36" i="1"/>
  <c r="C49" i="1"/>
  <c r="E159" i="1" l="1"/>
  <c r="L28" i="1"/>
  <c r="D146" i="1"/>
  <c r="E146" i="1" s="1"/>
  <c r="J108" i="1"/>
  <c r="J32" i="1"/>
  <c r="B51" i="1"/>
  <c r="H50" i="1" s="1"/>
  <c r="B49" i="1"/>
  <c r="E48" i="1" s="1"/>
  <c r="E50" i="1" s="1"/>
  <c r="F48" i="1" s="1"/>
  <c r="Q27" i="1"/>
  <c r="M97" i="1"/>
  <c r="N97" i="1" s="1"/>
  <c r="S27" i="1"/>
  <c r="L27" i="1"/>
  <c r="Q30" i="1"/>
  <c r="S30" i="1"/>
  <c r="M100" i="1"/>
  <c r="N100" i="1" s="1"/>
  <c r="L30" i="1"/>
  <c r="M98" i="1"/>
  <c r="N98" i="1" s="1"/>
  <c r="S28" i="1"/>
  <c r="R28" i="1"/>
  <c r="Q28" i="1"/>
  <c r="E64" i="1"/>
  <c r="S26" i="1"/>
  <c r="L26" i="1"/>
  <c r="E40" i="1"/>
  <c r="I37" i="1" s="1"/>
  <c r="Q26" i="1"/>
  <c r="M96" i="1"/>
  <c r="N96" i="1" s="1"/>
  <c r="L31" i="1"/>
  <c r="Q31" i="1"/>
  <c r="S31" i="1"/>
  <c r="M101" i="1"/>
  <c r="N101" i="1" s="1"/>
  <c r="C48" i="1"/>
  <c r="C55" i="1" s="1"/>
  <c r="K25" i="1"/>
  <c r="D143" i="1" s="1"/>
  <c r="E143" i="1" s="1"/>
  <c r="E150" i="1" s="1"/>
  <c r="L143" i="1" s="1"/>
  <c r="C160" i="1" s="1"/>
  <c r="I32" i="1"/>
  <c r="L29" i="1"/>
  <c r="Q29" i="1"/>
  <c r="S29" i="1"/>
  <c r="M99" i="1"/>
  <c r="N99" i="1" s="1"/>
  <c r="M165" i="1" l="1"/>
  <c r="C154" i="1"/>
  <c r="C155" i="1" s="1"/>
  <c r="M108" i="1"/>
  <c r="L108" i="1"/>
  <c r="L116" i="1" s="1"/>
  <c r="L25" i="1"/>
  <c r="L32" i="1" s="1"/>
  <c r="K109" i="1" s="1"/>
  <c r="M95" i="1"/>
  <c r="N95" i="1" s="1"/>
  <c r="E63" i="1"/>
  <c r="E65" i="1" s="1"/>
  <c r="R29" i="1"/>
  <c r="R30" i="1"/>
  <c r="R27" i="1"/>
  <c r="R31" i="1"/>
  <c r="R26" i="1"/>
  <c r="B48" i="1"/>
  <c r="T26" i="1"/>
  <c r="B64" i="1" s="1"/>
  <c r="C64" i="1"/>
  <c r="Q36" i="1"/>
  <c r="U26" i="1"/>
  <c r="K32" i="1"/>
  <c r="Q25" i="1"/>
  <c r="Q32" i="1" s="1"/>
  <c r="S25" i="1"/>
  <c r="S41" i="1"/>
  <c r="C65" i="1"/>
  <c r="U27" i="1"/>
  <c r="T27" i="1"/>
  <c r="B65" i="1" s="1"/>
  <c r="H65" i="1" s="1"/>
  <c r="C67" i="1"/>
  <c r="T29" i="1"/>
  <c r="B67" i="1" s="1"/>
  <c r="H67" i="1" s="1"/>
  <c r="U29" i="1"/>
  <c r="F63" i="1"/>
  <c r="C69" i="1"/>
  <c r="U31" i="1"/>
  <c r="T31" i="1"/>
  <c r="B69" i="1" s="1"/>
  <c r="H69" i="1" s="1"/>
  <c r="F49" i="1"/>
  <c r="F64" i="1" s="1"/>
  <c r="C66" i="1"/>
  <c r="U28" i="1"/>
  <c r="T28" i="1"/>
  <c r="B66" i="1" s="1"/>
  <c r="H66" i="1" s="1"/>
  <c r="C68" i="1"/>
  <c r="U30" i="1"/>
  <c r="T30" i="1"/>
  <c r="B68" i="1" s="1"/>
  <c r="H68" i="1" s="1"/>
  <c r="K43" i="1" l="1"/>
  <c r="C164" i="1"/>
  <c r="E164" i="1" s="1"/>
  <c r="M116" i="1"/>
  <c r="E160" i="1"/>
  <c r="N108" i="1"/>
  <c r="N102" i="1"/>
  <c r="J109" i="1" s="1"/>
  <c r="L109" i="1" s="1"/>
  <c r="H64" i="1"/>
  <c r="B79" i="1" s="1"/>
  <c r="H78" i="1" s="1"/>
  <c r="U36" i="1"/>
  <c r="B57" i="1"/>
  <c r="B55" i="1"/>
  <c r="F50" i="1"/>
  <c r="B81" i="1"/>
  <c r="E80" i="1" s="1"/>
  <c r="P52" i="1"/>
  <c r="V29" i="1"/>
  <c r="O52" i="1" s="1"/>
  <c r="S51" i="1" s="1"/>
  <c r="O66" i="1" s="1"/>
  <c r="V64" i="1" s="1"/>
  <c r="B83" i="1"/>
  <c r="E82" i="1" s="1"/>
  <c r="B80" i="1"/>
  <c r="E79" i="1" s="1"/>
  <c r="R25" i="1"/>
  <c r="B84" i="1"/>
  <c r="E83" i="1" s="1"/>
  <c r="V28" i="1"/>
  <c r="O51" i="1" s="1"/>
  <c r="S50" i="1" s="1"/>
  <c r="O65" i="1" s="1"/>
  <c r="S64" i="1" s="1"/>
  <c r="P51" i="1"/>
  <c r="P54" i="1"/>
  <c r="V31" i="1"/>
  <c r="O54" i="1" s="1"/>
  <c r="S53" i="1" s="1"/>
  <c r="O68" i="1" s="1"/>
  <c r="V66" i="1" s="1"/>
  <c r="B82" i="1"/>
  <c r="E81" i="1" s="1"/>
  <c r="C63" i="1"/>
  <c r="C70" i="1" s="1"/>
  <c r="T25" i="1"/>
  <c r="U25" i="1"/>
  <c r="S32" i="1"/>
  <c r="P53" i="1"/>
  <c r="V30" i="1"/>
  <c r="O53" i="1" s="1"/>
  <c r="S52" i="1" s="1"/>
  <c r="O67" i="1" s="1"/>
  <c r="V65" i="1" s="1"/>
  <c r="P50" i="1"/>
  <c r="V27" i="1"/>
  <c r="O50" i="1" s="1"/>
  <c r="S49" i="1" s="1"/>
  <c r="O64" i="1" s="1"/>
  <c r="S63" i="1" s="1"/>
  <c r="P49" i="1"/>
  <c r="R40" i="1"/>
  <c r="U37" i="1" s="1"/>
  <c r="V26" i="1"/>
  <c r="O49" i="1" s="1"/>
  <c r="S48" i="1" s="1"/>
  <c r="O63" i="1" s="1"/>
  <c r="F65" i="1"/>
  <c r="H48" i="1"/>
  <c r="C168" i="1" l="1"/>
  <c r="D181" i="1"/>
  <c r="C176" i="1"/>
  <c r="E176" i="1" s="1"/>
  <c r="I123" i="1"/>
  <c r="N116" i="1"/>
  <c r="O116" i="1"/>
  <c r="E168" i="1"/>
  <c r="U81" i="1"/>
  <c r="W81" i="1" s="1"/>
  <c r="U79" i="1"/>
  <c r="W79" i="1" s="1"/>
  <c r="U80" i="1"/>
  <c r="W80" i="1" s="1"/>
  <c r="U82" i="1"/>
  <c r="W82" i="1" s="1"/>
  <c r="M109" i="1"/>
  <c r="R32" i="1"/>
  <c r="R43" i="1" s="1"/>
  <c r="S65" i="1"/>
  <c r="O72" i="1"/>
  <c r="O69" i="1"/>
  <c r="V63" i="1"/>
  <c r="U78" i="1" s="1"/>
  <c r="W78" i="1" s="1"/>
  <c r="I78" i="1"/>
  <c r="S54" i="1"/>
  <c r="T48" i="1" s="1"/>
  <c r="P63" i="1" s="1"/>
  <c r="H53" i="1"/>
  <c r="P48" i="1"/>
  <c r="P55" i="1" s="1"/>
  <c r="V25" i="1"/>
  <c r="U32" i="1"/>
  <c r="B63" i="1"/>
  <c r="T32" i="1"/>
  <c r="C186" i="1" l="1"/>
  <c r="C189" i="1" s="1"/>
  <c r="N109" i="1"/>
  <c r="T64" i="1"/>
  <c r="V67" i="1"/>
  <c r="W63" i="1" s="1"/>
  <c r="T63" i="1"/>
  <c r="T52" i="1"/>
  <c r="P67" i="1" s="1"/>
  <c r="T51" i="1"/>
  <c r="P66" i="1" s="1"/>
  <c r="T49" i="1"/>
  <c r="P64" i="1" s="1"/>
  <c r="T53" i="1"/>
  <c r="P68" i="1" s="1"/>
  <c r="T50" i="1"/>
  <c r="P65" i="1" s="1"/>
  <c r="I52" i="1"/>
  <c r="I49" i="1"/>
  <c r="I50" i="1"/>
  <c r="I51" i="1"/>
  <c r="F57" i="1"/>
  <c r="O48" i="1"/>
  <c r="V32" i="1"/>
  <c r="U43" i="1" s="1"/>
  <c r="H63" i="1"/>
  <c r="B70" i="1"/>
  <c r="B72" i="1" s="1"/>
  <c r="I48" i="1"/>
  <c r="E186" i="1" l="1"/>
  <c r="K174" i="1" s="1"/>
  <c r="K177" i="1" s="1"/>
  <c r="T65" i="1"/>
  <c r="P69" i="1"/>
  <c r="H72" i="1"/>
  <c r="I63" i="1" s="1"/>
  <c r="R95" i="1" s="1"/>
  <c r="S95" i="1" s="1"/>
  <c r="H70" i="1"/>
  <c r="B85" i="1" s="1"/>
  <c r="B87" i="1" s="1"/>
  <c r="K110" i="1" s="1"/>
  <c r="O55" i="1"/>
  <c r="O57" i="1"/>
  <c r="W64" i="1"/>
  <c r="W66" i="1"/>
  <c r="W65" i="1"/>
  <c r="U72" i="1"/>
  <c r="R72" i="1" s="1"/>
  <c r="T54" i="1"/>
  <c r="V48" i="1"/>
  <c r="I53" i="1"/>
  <c r="B78" i="1"/>
  <c r="E78" i="1" s="1"/>
  <c r="U77" i="1" l="1"/>
  <c r="W77" i="1"/>
  <c r="D73" i="1"/>
  <c r="W67" i="1"/>
  <c r="E84" i="1"/>
  <c r="I66" i="1"/>
  <c r="I65" i="1"/>
  <c r="I69" i="1"/>
  <c r="I64" i="1"/>
  <c r="I68" i="1"/>
  <c r="I67" i="1"/>
  <c r="C78" i="1"/>
  <c r="W48" i="1"/>
  <c r="S57" i="1"/>
  <c r="C84" i="1" l="1"/>
  <c r="R101" i="1"/>
  <c r="S101" i="1" s="1"/>
  <c r="C82" i="1"/>
  <c r="R99" i="1"/>
  <c r="S99" i="1" s="1"/>
  <c r="C80" i="1"/>
  <c r="R97" i="1"/>
  <c r="S97" i="1" s="1"/>
  <c r="C83" i="1"/>
  <c r="R100" i="1"/>
  <c r="S100" i="1" s="1"/>
  <c r="C81" i="1"/>
  <c r="R98" i="1"/>
  <c r="S98" i="1" s="1"/>
  <c r="C79" i="1"/>
  <c r="R96" i="1"/>
  <c r="S96" i="1" s="1"/>
  <c r="V87" i="1"/>
  <c r="F79" i="1"/>
  <c r="F80" i="1"/>
  <c r="F82" i="1"/>
  <c r="E87" i="1"/>
  <c r="F81" i="1"/>
  <c r="F83" i="1"/>
  <c r="U83" i="1" s="1"/>
  <c r="F78" i="1"/>
  <c r="I70" i="1"/>
  <c r="W83" i="1" l="1"/>
  <c r="W84" i="1" s="1"/>
  <c r="U84" i="1"/>
  <c r="S102" i="1"/>
  <c r="J110" i="1" s="1"/>
  <c r="F84" i="1"/>
  <c r="L110" i="1" l="1"/>
  <c r="M110" i="1"/>
  <c r="L117" i="1" l="1"/>
  <c r="L118" i="1"/>
  <c r="M117" i="1"/>
  <c r="N110" i="1"/>
  <c r="M118" i="1" l="1"/>
  <c r="O118" i="1" s="1"/>
  <c r="I124" i="1"/>
  <c r="N117" i="1"/>
  <c r="O117" i="1"/>
  <c r="N118" i="1"/>
  <c r="J135" i="1"/>
  <c r="I125" i="1" l="1"/>
  <c r="P121" i="1" l="1"/>
  <c r="J129" i="1"/>
  <c r="N122" i="1"/>
  <c r="P122" i="1" s="1"/>
  <c r="N123" i="1" l="1"/>
  <c r="P123" i="1" s="1"/>
  <c r="N124" i="1"/>
  <c r="P124" i="1" s="1"/>
  <c r="N125" i="1" l="1"/>
  <c r="P125" i="1" s="1"/>
  <c r="J130" i="1" l="1"/>
  <c r="J131" i="1" l="1"/>
  <c r="J137" i="1" l="1"/>
</calcChain>
</file>

<file path=xl/sharedStrings.xml><?xml version="1.0" encoding="utf-8"?>
<sst xmlns="http://schemas.openxmlformats.org/spreadsheetml/2006/main" count="528" uniqueCount="173">
  <si>
    <t>V</t>
  </si>
  <si>
    <t>K</t>
  </si>
  <si>
    <t>A</t>
  </si>
  <si>
    <t>B</t>
  </si>
  <si>
    <t>C</t>
  </si>
  <si>
    <t>yi</t>
  </si>
  <si>
    <t>xi</t>
  </si>
  <si>
    <t>Bar</t>
  </si>
  <si>
    <t>Kpa</t>
  </si>
  <si>
    <t>Pi sat  KPa</t>
  </si>
  <si>
    <t xml:space="preserve">        Ki</t>
  </si>
  <si>
    <t xml:space="preserve">         Zi</t>
  </si>
  <si>
    <t>MgCO3</t>
  </si>
  <si>
    <t>NaHCO3</t>
  </si>
  <si>
    <t xml:space="preserve">       yi</t>
  </si>
  <si>
    <t xml:space="preserve">   xi</t>
  </si>
  <si>
    <t>CO2</t>
  </si>
  <si>
    <t>Olivine</t>
  </si>
  <si>
    <t>Water</t>
  </si>
  <si>
    <t>Low pressure relief tank 2</t>
  </si>
  <si>
    <t>L</t>
  </si>
  <si>
    <t>liq. Flow rate</t>
  </si>
  <si>
    <t>Kg/hr</t>
  </si>
  <si>
    <t>vap. Flow rate</t>
  </si>
  <si>
    <t>kg/hr</t>
  </si>
  <si>
    <t>CO2 in vapours to stripping tower</t>
  </si>
  <si>
    <t>CO2 in liq. To 2nd pressure relief tank</t>
  </si>
  <si>
    <t>CO2 going to recycle</t>
  </si>
  <si>
    <t>CO2 going in liq. To separator</t>
  </si>
  <si>
    <t>Ӗ[(zi*ki)/{1+V(ki-1)}]</t>
  </si>
  <si>
    <t>NaCl</t>
  </si>
  <si>
    <t>SiO2</t>
  </si>
  <si>
    <t>Cp</t>
  </si>
  <si>
    <t>Stream (12)</t>
  </si>
  <si>
    <t>composition</t>
  </si>
  <si>
    <t>Stream (10)</t>
  </si>
  <si>
    <t>142.5C</t>
  </si>
  <si>
    <t>75.5C</t>
  </si>
  <si>
    <t>77.5C</t>
  </si>
  <si>
    <t>Stream (19)</t>
  </si>
  <si>
    <t>Stream (6)</t>
  </si>
  <si>
    <t>m</t>
  </si>
  <si>
    <t>Heat (H)</t>
  </si>
  <si>
    <t>KJ/hr</t>
  </si>
  <si>
    <t>KJ/Kg.K</t>
  </si>
  <si>
    <t>TS</t>
  </si>
  <si>
    <t>Tt</t>
  </si>
  <si>
    <r>
      <t>Tt</t>
    </r>
    <r>
      <rPr>
        <sz val="11"/>
        <color theme="1"/>
        <rFont val="Wingdings"/>
        <charset val="2"/>
      </rPr>
      <t>¬</t>
    </r>
  </si>
  <si>
    <r>
      <t>Ts</t>
    </r>
    <r>
      <rPr>
        <sz val="11"/>
        <color theme="1"/>
        <rFont val="Wingdings"/>
        <charset val="2"/>
      </rPr>
      <t>¬</t>
    </r>
  </si>
  <si>
    <t>mCp</t>
  </si>
  <si>
    <t>KJ/hr.K</t>
  </si>
  <si>
    <r>
      <rPr>
        <sz val="11"/>
        <color theme="1"/>
        <rFont val="Agency FB"/>
        <family val="2"/>
      </rPr>
      <t>Δ</t>
    </r>
    <r>
      <rPr>
        <sz val="11"/>
        <color theme="1"/>
        <rFont val="Calibri"/>
        <family val="2"/>
      </rPr>
      <t>T interval</t>
    </r>
  </si>
  <si>
    <r>
      <rPr>
        <sz val="11"/>
        <color theme="1"/>
        <rFont val="Agency FB"/>
        <family val="2"/>
      </rPr>
      <t>É</t>
    </r>
    <r>
      <rPr>
        <sz val="11"/>
        <color theme="1"/>
        <rFont val="Calibri"/>
        <family val="2"/>
        <scheme val="minor"/>
      </rPr>
      <t xml:space="preserve">Cpc- </t>
    </r>
    <r>
      <rPr>
        <sz val="11"/>
        <color theme="1"/>
        <rFont val="Agency FB"/>
        <family val="2"/>
      </rPr>
      <t>É</t>
    </r>
    <r>
      <rPr>
        <sz val="11"/>
        <color theme="1"/>
        <rFont val="Calibri"/>
        <family val="2"/>
        <scheme val="minor"/>
      </rPr>
      <t>Cph</t>
    </r>
  </si>
  <si>
    <t>Heat (ΔH)</t>
  </si>
  <si>
    <t>KW</t>
  </si>
  <si>
    <t>density Kg/m3</t>
  </si>
  <si>
    <t>Slurry preparation tank</t>
  </si>
  <si>
    <t>IN</t>
  </si>
  <si>
    <t>OUT</t>
  </si>
  <si>
    <t>Capacity</t>
  </si>
  <si>
    <t>CO2 storage</t>
  </si>
  <si>
    <t xml:space="preserve">Water </t>
  </si>
  <si>
    <t>S#4</t>
  </si>
  <si>
    <t>S#30</t>
  </si>
  <si>
    <t>S#5</t>
  </si>
  <si>
    <t>Total IN</t>
  </si>
  <si>
    <t>Total OUT</t>
  </si>
  <si>
    <t>Reactor</t>
  </si>
  <si>
    <t>S#9</t>
  </si>
  <si>
    <t>S#8</t>
  </si>
  <si>
    <t>S#10</t>
  </si>
  <si>
    <t>Fao</t>
  </si>
  <si>
    <t>Xa</t>
  </si>
  <si>
    <t>Fbo</t>
  </si>
  <si>
    <t>Fco</t>
  </si>
  <si>
    <t>Fdo</t>
  </si>
  <si>
    <t>S#13</t>
  </si>
  <si>
    <t>S#12</t>
  </si>
  <si>
    <t>S#11</t>
  </si>
  <si>
    <t>Zi</t>
  </si>
  <si>
    <t>S#14</t>
  </si>
  <si>
    <t>S#16</t>
  </si>
  <si>
    <t>S#15</t>
  </si>
  <si>
    <t>Vapour/Liquid Separator</t>
  </si>
  <si>
    <t>Pressure</t>
  </si>
  <si>
    <t>Temperature</t>
  </si>
  <si>
    <t>Separation Unit</t>
  </si>
  <si>
    <t xml:space="preserve">Gas Separation </t>
  </si>
  <si>
    <t>Composition</t>
  </si>
  <si>
    <t>S#23</t>
  </si>
  <si>
    <t>S#24</t>
  </si>
  <si>
    <t>S#18</t>
  </si>
  <si>
    <t>S#17</t>
  </si>
  <si>
    <t xml:space="preserve">Mixing point </t>
  </si>
  <si>
    <t>S#19</t>
  </si>
  <si>
    <t>total CO2 OUT</t>
  </si>
  <si>
    <t>total CO2 IN</t>
  </si>
  <si>
    <t>Knock out Drum</t>
  </si>
  <si>
    <t>S#21</t>
  </si>
  <si>
    <t>S#20</t>
  </si>
  <si>
    <t>Liquid Liquid separation Unit</t>
  </si>
  <si>
    <t>S#25</t>
  </si>
  <si>
    <t>S#27</t>
  </si>
  <si>
    <t>per hour</t>
  </si>
  <si>
    <t>per day</t>
  </si>
  <si>
    <t>kg/day</t>
  </si>
  <si>
    <t>Pinch Analysis</t>
  </si>
  <si>
    <t>Total input</t>
  </si>
  <si>
    <t>Total Output</t>
  </si>
  <si>
    <t>kmol/hr</t>
  </si>
  <si>
    <t>Hot utility</t>
  </si>
  <si>
    <t>cold utility</t>
  </si>
  <si>
    <t>Overall Balance</t>
  </si>
  <si>
    <t>Total in</t>
  </si>
  <si>
    <t>Total Out</t>
  </si>
  <si>
    <t>Energy saved</t>
  </si>
  <si>
    <t>total</t>
  </si>
  <si>
    <r>
      <t>Water</t>
    </r>
    <r>
      <rPr>
        <sz val="11"/>
        <color theme="1"/>
        <rFont val="Wingdings"/>
        <charset val="2"/>
      </rPr>
      <t>û</t>
    </r>
  </si>
  <si>
    <t xml:space="preserve">CO2 storage </t>
  </si>
  <si>
    <t>Kg/m3</t>
  </si>
  <si>
    <t>Kg/m4</t>
  </si>
  <si>
    <t>WL</t>
  </si>
  <si>
    <t>Wv</t>
  </si>
  <si>
    <t>Flash separator design:</t>
  </si>
  <si>
    <t>Ternimal velocity:</t>
  </si>
  <si>
    <t>Ut</t>
  </si>
  <si>
    <t>k</t>
  </si>
  <si>
    <t>Uv</t>
  </si>
  <si>
    <t>Vol. flow rate:</t>
  </si>
  <si>
    <t>Qv</t>
  </si>
  <si>
    <t>Vessel diameter:</t>
  </si>
  <si>
    <t>QL</t>
  </si>
  <si>
    <t>m3/hr</t>
  </si>
  <si>
    <t>m3/s</t>
  </si>
  <si>
    <t>m/s</t>
  </si>
  <si>
    <t>D</t>
  </si>
  <si>
    <t>in</t>
  </si>
  <si>
    <t>Height of Liquid (HL):</t>
  </si>
  <si>
    <t>HL</t>
  </si>
  <si>
    <t>tr</t>
  </si>
  <si>
    <t>min</t>
  </si>
  <si>
    <t>s</t>
  </si>
  <si>
    <t>Height of feed nozzle (Hf):</t>
  </si>
  <si>
    <t>kg/m3</t>
  </si>
  <si>
    <t>Hf</t>
  </si>
  <si>
    <t>Height of vapour space:</t>
  </si>
  <si>
    <t>Mist eleminator</t>
  </si>
  <si>
    <r>
      <rPr>
        <b/>
        <sz val="14"/>
        <color theme="1"/>
        <rFont val="Calibri"/>
        <family val="2"/>
        <scheme val="minor"/>
      </rPr>
      <t>L</t>
    </r>
    <r>
      <rPr>
        <sz val="9"/>
        <color theme="1"/>
        <rFont val="Calibri"/>
        <family val="2"/>
        <scheme val="minor"/>
      </rPr>
      <t>ME</t>
    </r>
  </si>
  <si>
    <t>free vapour space</t>
  </si>
  <si>
    <t>Total Height of column:</t>
  </si>
  <si>
    <t>Ht</t>
  </si>
  <si>
    <t>L/D ratio</t>
  </si>
  <si>
    <t>ft</t>
  </si>
  <si>
    <t>Di</t>
  </si>
  <si>
    <t>Qin</t>
  </si>
  <si>
    <t>Win</t>
  </si>
  <si>
    <t>vi</t>
  </si>
  <si>
    <t>Vo</t>
  </si>
  <si>
    <t>Do</t>
  </si>
  <si>
    <t>v"</t>
  </si>
  <si>
    <t>D"</t>
  </si>
  <si>
    <t>Cost estimation:</t>
  </si>
  <si>
    <t>Cost</t>
  </si>
  <si>
    <t>W</t>
  </si>
  <si>
    <t>lb</t>
  </si>
  <si>
    <t>nozzles diamtere:</t>
  </si>
  <si>
    <t>Cb</t>
  </si>
  <si>
    <t>Ca</t>
  </si>
  <si>
    <t>Fm</t>
  </si>
  <si>
    <t>$</t>
  </si>
  <si>
    <t>kg</t>
  </si>
  <si>
    <t>Before Pinch analysis</t>
  </si>
  <si>
    <t>After Pinch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</si>
</sst>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4"/>
      <color theme="3"/>
      <name val="Calibri"/>
      <family val="2"/>
    </font>
    <font>
      <b/>
      <sz val="16"/>
      <color theme="3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Agency FB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i/>
      <sz val="14"/>
      <color theme="8" tint="0.39997558519241921"/>
      <name val="Arial Black"/>
      <family val="2"/>
    </font>
    <font>
      <b/>
      <i/>
      <sz val="14"/>
      <color theme="7" tint="0.39997558519241921"/>
      <name val="Arial Black"/>
      <family val="2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9" tint="-0.249977111117893"/>
      <name val="Arial Black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2" borderId="0" xfId="0" applyFont="1" applyFill="1"/>
    <xf numFmtId="0" fontId="4" fillId="0" borderId="0" xfId="0" applyFont="1" applyFill="1"/>
    <xf numFmtId="0" fontId="12" fillId="0" borderId="0" xfId="0" applyFont="1"/>
    <xf numFmtId="0" fontId="0" fillId="0" borderId="0" xfId="0" applyAlignment="1"/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0" fillId="0" borderId="0" xfId="0" applyBorder="1"/>
    <xf numFmtId="0" fontId="10" fillId="0" borderId="0" xfId="0" applyFont="1" applyFill="1" applyBorder="1" applyAlignment="1">
      <alignment horizontal="center"/>
    </xf>
    <xf numFmtId="0" fontId="0" fillId="3" borderId="0" xfId="0" applyFill="1" applyBorder="1"/>
    <xf numFmtId="0" fontId="0" fillId="4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12" xfId="0" applyFont="1" applyFill="1" applyBorder="1" applyAlignment="1">
      <alignment horizontal="center"/>
    </xf>
    <xf numFmtId="0" fontId="0" fillId="3" borderId="12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9" fillId="0" borderId="0" xfId="0" applyFont="1" applyFill="1" applyBorder="1"/>
    <xf numFmtId="0" fontId="10" fillId="0" borderId="0" xfId="0" applyFont="1" applyFill="1" applyBorder="1"/>
    <xf numFmtId="0" fontId="0" fillId="4" borderId="0" xfId="0" applyFill="1" applyBorder="1"/>
    <xf numFmtId="0" fontId="3" fillId="0" borderId="12" xfId="0" applyFont="1" applyBorder="1"/>
    <xf numFmtId="0" fontId="2" fillId="0" borderId="0" xfId="0" applyFont="1" applyBorder="1"/>
    <xf numFmtId="0" fontId="11" fillId="0" borderId="10" xfId="0" applyFont="1" applyBorder="1"/>
    <xf numFmtId="0" fontId="9" fillId="0" borderId="12" xfId="0" applyFont="1" applyFill="1" applyBorder="1"/>
    <xf numFmtId="0" fontId="0" fillId="0" borderId="0" xfId="0" applyBorder="1" applyAlignment="1">
      <alignment horizontal="right"/>
    </xf>
    <xf numFmtId="0" fontId="11" fillId="0" borderId="9" xfId="0" applyFont="1" applyBorder="1"/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8" fillId="0" borderId="4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center"/>
    </xf>
    <xf numFmtId="0" fontId="0" fillId="0" borderId="5" xfId="0" applyFill="1" applyBorder="1"/>
    <xf numFmtId="0" fontId="7" fillId="0" borderId="0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7" fillId="0" borderId="0" xfId="0" applyFont="1"/>
    <xf numFmtId="0" fontId="0" fillId="0" borderId="0" xfId="0" applyAlignment="1">
      <alignment horizontal="center"/>
    </xf>
    <xf numFmtId="0" fontId="14" fillId="0" borderId="0" xfId="0" applyFont="1" applyFill="1" applyBorder="1"/>
  </cellXfs>
  <cellStyles count="1">
    <cellStyle name="Normal" xfId="0" builtinId="0"/>
  </cellStyles>
  <dxfs count="1"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287285</xdr:colOff>
      <xdr:row>140</xdr:row>
      <xdr:rowOff>131379</xdr:rowOff>
    </xdr:from>
    <xdr:ext cx="249182" cy="2405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2936768" y="28180862"/>
              <a:ext cx="249182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𝜌</m:t>
                  </m:r>
                </m:oMath>
              </a14:m>
              <a:r>
                <a:rPr lang="en-US" sz="1200" b="1" i="0"/>
                <a:t>L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936768" y="28180862"/>
              <a:ext cx="249182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200" b="1" i="0"/>
                <a:t>L</a:t>
              </a:r>
            </a:p>
          </xdr:txBody>
        </xdr:sp>
      </mc:Fallback>
    </mc:AlternateContent>
    <xdr:clientData/>
  </xdr:oneCellAnchor>
  <xdr:oneCellAnchor>
    <xdr:from>
      <xdr:col>6</xdr:col>
      <xdr:colOff>175172</xdr:colOff>
      <xdr:row>140</xdr:row>
      <xdr:rowOff>131377</xdr:rowOff>
    </xdr:from>
    <xdr:ext cx="249182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4182241" y="28180860"/>
              <a:ext cx="24918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sty m:val="p"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v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4182241" y="28180860"/>
              <a:ext cx="24918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v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10</xdr:col>
      <xdr:colOff>65690</xdr:colOff>
      <xdr:row>141</xdr:row>
      <xdr:rowOff>120431</xdr:rowOff>
    </xdr:from>
    <xdr:ext cx="249182" cy="2405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678793" y="30042069"/>
              <a:ext cx="249182" cy="240579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kumimoji="0" lang="en-US" sz="1600" b="0" i="1" u="none" strike="noStrike" kern="0" cap="none" spc="0" normalizeH="0" baseline="0" noProof="0" smtClean="0">
                      <a:ln>
                        <a:noFill/>
                      </a:ln>
                      <a:solidFill>
                        <a:sysClr val="windowText" lastClr="000000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𝜌</m:t>
                  </m:r>
                </m:oMath>
              </a14:m>
              <a:r>
                <a:rPr kumimoji="0" lang="en-US" sz="1200" b="1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L</a:t>
              </a:r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678793" y="30042069"/>
              <a:ext cx="249182" cy="240579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600" b="0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𝜌</a:t>
              </a:r>
              <a:r>
                <a:rPr kumimoji="0" lang="en-US" sz="1200" b="1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L</a:t>
              </a:r>
            </a:p>
          </xdr:txBody>
        </xdr:sp>
      </mc:Fallback>
    </mc:AlternateContent>
    <xdr:clientData/>
  </xdr:oneCellAnchor>
  <xdr:oneCellAnchor>
    <xdr:from>
      <xdr:col>10</xdr:col>
      <xdr:colOff>98535</xdr:colOff>
      <xdr:row>142</xdr:row>
      <xdr:rowOff>131380</xdr:rowOff>
    </xdr:from>
    <xdr:ext cx="249182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6109138" y="28553104"/>
              <a:ext cx="24918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sty m:val="p"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v</m:t>
                    </m:r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6109138" y="28553104"/>
              <a:ext cx="24918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v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9</xdr:col>
      <xdr:colOff>2627</xdr:colOff>
      <xdr:row>156</xdr:row>
      <xdr:rowOff>216119</xdr:rowOff>
    </xdr:from>
    <xdr:ext cx="30482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6013230" y="31342067"/>
              <a:ext cx="30482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𝑖𝑛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6013230" y="31342067"/>
              <a:ext cx="30482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𝑖𝑛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89"/>
  <sheetViews>
    <sheetView tabSelected="1" topLeftCell="A103" zoomScale="87" zoomScaleNormal="87" workbookViewId="0">
      <selection activeCell="D117" sqref="D117"/>
    </sheetView>
  </sheetViews>
  <sheetFormatPr defaultRowHeight="15" x14ac:dyDescent="0.25"/>
  <cols>
    <col min="2" max="2" width="10.28515625" customWidth="1"/>
    <col min="3" max="3" width="9.7109375" customWidth="1"/>
    <col min="4" max="4" width="10.42578125" customWidth="1"/>
    <col min="5" max="5" width="10.7109375" customWidth="1"/>
    <col min="6" max="6" width="9.7109375" customWidth="1"/>
    <col min="8" max="8" width="11" customWidth="1"/>
    <col min="9" max="9" width="9.85546875" customWidth="1"/>
    <col min="11" max="11" width="12" customWidth="1"/>
    <col min="13" max="13" width="10.42578125" customWidth="1"/>
    <col min="14" max="15" width="10.28515625" customWidth="1"/>
    <col min="16" max="16" width="10.7109375" customWidth="1"/>
    <col min="17" max="17" width="11.140625" customWidth="1"/>
    <col min="18" max="18" width="10" customWidth="1"/>
    <col min="19" max="19" width="11.140625" customWidth="1"/>
    <col min="21" max="21" width="9.140625" customWidth="1"/>
    <col min="23" max="23" width="10.85546875" customWidth="1"/>
  </cols>
  <sheetData>
    <row r="1" spans="1:27" x14ac:dyDescent="0.25">
      <c r="B1" t="s">
        <v>118</v>
      </c>
      <c r="C1" t="s">
        <v>59</v>
      </c>
      <c r="D1" t="s">
        <v>104</v>
      </c>
      <c r="E1">
        <v>1000</v>
      </c>
      <c r="F1" t="s">
        <v>105</v>
      </c>
      <c r="G1" t="s">
        <v>117</v>
      </c>
      <c r="H1">
        <f>(((E7*100)/15)-E7)</f>
        <v>377.77777777777777</v>
      </c>
      <c r="Y1" t="s">
        <v>72</v>
      </c>
      <c r="Z1">
        <v>0.5</v>
      </c>
    </row>
    <row r="2" spans="1:27" ht="15.75" thickBot="1" x14ac:dyDescent="0.3">
      <c r="B2" t="s">
        <v>60</v>
      </c>
      <c r="C2" t="s">
        <v>59</v>
      </c>
      <c r="D2" t="s">
        <v>103</v>
      </c>
      <c r="E2">
        <f>E1/24</f>
        <v>41.666666666666664</v>
      </c>
      <c r="F2" t="s">
        <v>22</v>
      </c>
      <c r="W2" s="21"/>
      <c r="X2" s="21"/>
      <c r="Y2" t="s">
        <v>71</v>
      </c>
      <c r="Z2">
        <f>E7*1000/140</f>
        <v>476.1904761904762</v>
      </c>
      <c r="AA2" t="s">
        <v>109</v>
      </c>
    </row>
    <row r="3" spans="1:27" ht="27" thickTop="1" x14ac:dyDescent="0.4">
      <c r="A3" s="13" t="s">
        <v>56</v>
      </c>
      <c r="B3" s="14"/>
      <c r="C3" s="14"/>
      <c r="D3" s="14"/>
      <c r="E3" s="14"/>
      <c r="F3" s="14"/>
      <c r="G3" s="14"/>
      <c r="H3" s="14"/>
      <c r="I3" s="14"/>
      <c r="J3" s="15"/>
      <c r="N3" s="13" t="s">
        <v>67</v>
      </c>
      <c r="O3" s="14"/>
      <c r="P3" s="14"/>
      <c r="Q3" s="14"/>
      <c r="R3" s="14"/>
      <c r="S3" s="14"/>
      <c r="T3" s="14"/>
      <c r="U3" s="14"/>
      <c r="V3" s="14"/>
      <c r="W3" s="14"/>
      <c r="X3" s="17"/>
      <c r="Y3" t="s">
        <v>73</v>
      </c>
      <c r="Z3">
        <f>R6*1000/44</f>
        <v>946.96969696969688</v>
      </c>
      <c r="AA3" t="s">
        <v>109</v>
      </c>
    </row>
    <row r="4" spans="1:27" ht="22.5" x14ac:dyDescent="0.45">
      <c r="A4" s="16"/>
      <c r="B4" s="7"/>
      <c r="C4" s="7"/>
      <c r="D4" s="7"/>
      <c r="E4" s="7"/>
      <c r="F4" s="7"/>
      <c r="G4" s="7"/>
      <c r="H4" s="7"/>
      <c r="I4" s="7"/>
      <c r="J4" s="17"/>
      <c r="N4" s="18" t="s">
        <v>57</v>
      </c>
      <c r="O4" s="7"/>
      <c r="P4" s="7"/>
      <c r="Q4" s="7"/>
      <c r="R4" s="7"/>
      <c r="S4" s="7"/>
      <c r="U4" s="8" t="s">
        <v>58</v>
      </c>
      <c r="V4" s="7"/>
      <c r="W4" s="7"/>
      <c r="X4" s="17"/>
      <c r="Y4" t="s">
        <v>74</v>
      </c>
      <c r="Z4">
        <v>0</v>
      </c>
      <c r="AA4" t="s">
        <v>109</v>
      </c>
    </row>
    <row r="5" spans="1:27" ht="22.5" x14ac:dyDescent="0.45">
      <c r="A5" s="18" t="s">
        <v>57</v>
      </c>
      <c r="B5" s="7"/>
      <c r="C5" s="7"/>
      <c r="D5" s="7"/>
      <c r="E5" s="7"/>
      <c r="F5" s="7"/>
      <c r="G5" s="8" t="s">
        <v>58</v>
      </c>
      <c r="H5" s="7"/>
      <c r="I5" s="7"/>
      <c r="J5" s="17"/>
      <c r="N5" s="19" t="s">
        <v>68</v>
      </c>
      <c r="O5" s="7" t="s">
        <v>22</v>
      </c>
      <c r="P5" s="7" t="s">
        <v>34</v>
      </c>
      <c r="Q5" s="9" t="s">
        <v>69</v>
      </c>
      <c r="R5" s="7" t="s">
        <v>22</v>
      </c>
      <c r="S5" s="7" t="s">
        <v>34</v>
      </c>
      <c r="U5" s="10" t="s">
        <v>70</v>
      </c>
      <c r="V5" s="7" t="s">
        <v>22</v>
      </c>
      <c r="W5" s="7" t="s">
        <v>34</v>
      </c>
      <c r="X5" s="17"/>
      <c r="Y5" t="s">
        <v>75</v>
      </c>
      <c r="Z5">
        <v>0</v>
      </c>
      <c r="AA5" t="s">
        <v>109</v>
      </c>
    </row>
    <row r="6" spans="1:27" x14ac:dyDescent="0.25">
      <c r="A6" s="19" t="s">
        <v>63</v>
      </c>
      <c r="B6" s="11" t="s">
        <v>22</v>
      </c>
      <c r="C6" s="12" t="s">
        <v>34</v>
      </c>
      <c r="D6" s="9" t="s">
        <v>62</v>
      </c>
      <c r="E6" s="11" t="s">
        <v>22</v>
      </c>
      <c r="F6" s="12" t="s">
        <v>34</v>
      </c>
      <c r="G6" s="10" t="s">
        <v>64</v>
      </c>
      <c r="H6" s="11" t="s">
        <v>22</v>
      </c>
      <c r="I6" s="12" t="s">
        <v>34</v>
      </c>
      <c r="J6" s="17"/>
      <c r="M6" s="17"/>
      <c r="N6" s="7" t="s">
        <v>17</v>
      </c>
      <c r="O6" s="7">
        <f>H7</f>
        <v>66.666666666666671</v>
      </c>
      <c r="P6" s="7">
        <f>O6/O$10</f>
        <v>0.15</v>
      </c>
      <c r="Q6" s="7" t="s">
        <v>16</v>
      </c>
      <c r="R6" s="7">
        <f>E2</f>
        <v>41.666666666666664</v>
      </c>
      <c r="S6" s="7">
        <f>R6/R6</f>
        <v>1</v>
      </c>
      <c r="U6" s="7" t="s">
        <v>17</v>
      </c>
      <c r="V6" s="7">
        <f>Z2*(1-Z$1)*140/1000</f>
        <v>33.333333333333336</v>
      </c>
      <c r="W6" s="7">
        <f t="shared" ref="W6:W12" si="0">V6/V$15</f>
        <v>6.8571428571428575E-2</v>
      </c>
      <c r="X6" s="17"/>
    </row>
    <row r="7" spans="1:27" x14ac:dyDescent="0.25">
      <c r="A7" s="16" t="s">
        <v>61</v>
      </c>
      <c r="B7" s="7">
        <f>H1-(B8+B9)</f>
        <v>335.36844444444444</v>
      </c>
      <c r="C7" s="7">
        <f>B7/B$10</f>
        <v>0.88773999999999997</v>
      </c>
      <c r="D7" s="7" t="s">
        <v>17</v>
      </c>
      <c r="E7" s="7">
        <f>E2*1.6</f>
        <v>66.666666666666671</v>
      </c>
      <c r="F7" s="7">
        <f>E7/E7</f>
        <v>1</v>
      </c>
      <c r="G7" s="7" t="s">
        <v>17</v>
      </c>
      <c r="H7" s="7">
        <f>E7</f>
        <v>66.666666666666671</v>
      </c>
      <c r="I7" s="7">
        <f>H7/H$15</f>
        <v>0.15</v>
      </c>
      <c r="J7" s="17"/>
      <c r="L7" s="7"/>
      <c r="M7" s="17"/>
      <c r="N7" s="7" t="s">
        <v>61</v>
      </c>
      <c r="O7" s="7">
        <f>H8</f>
        <v>335.36844444444444</v>
      </c>
      <c r="P7" s="7">
        <f>O7/O$10</f>
        <v>0.754579</v>
      </c>
      <c r="Q7" s="7"/>
      <c r="R7" s="7"/>
      <c r="S7" s="7"/>
      <c r="U7" s="7" t="s">
        <v>16</v>
      </c>
      <c r="V7" s="7">
        <f>(Z3-Z2*Z1*2)*44/1000</f>
        <v>20.714285714285712</v>
      </c>
      <c r="W7" s="7">
        <f t="shared" si="0"/>
        <v>4.2612244897959173E-2</v>
      </c>
      <c r="X7" s="17"/>
    </row>
    <row r="8" spans="1:27" x14ac:dyDescent="0.25">
      <c r="A8" s="16" t="s">
        <v>30</v>
      </c>
      <c r="B8" s="7">
        <f>(1*58.5*H1)/1000</f>
        <v>22.1</v>
      </c>
      <c r="C8" s="7">
        <f>B8/B$10</f>
        <v>5.8500000000000003E-2</v>
      </c>
      <c r="D8" s="7"/>
      <c r="E8" s="7"/>
      <c r="F8" s="7"/>
      <c r="G8" s="7" t="s">
        <v>61</v>
      </c>
      <c r="H8" s="7">
        <f>B7</f>
        <v>335.36844444444444</v>
      </c>
      <c r="I8" s="7">
        <f>H8/H$15</f>
        <v>0.754579</v>
      </c>
      <c r="J8" s="17"/>
      <c r="K8" s="16"/>
      <c r="L8" s="7"/>
      <c r="M8" s="17"/>
      <c r="N8" s="16" t="s">
        <v>30</v>
      </c>
      <c r="O8" s="7">
        <f>H9</f>
        <v>22.1</v>
      </c>
      <c r="P8" s="7">
        <f>O8/O$10</f>
        <v>4.9724999999999998E-2</v>
      </c>
      <c r="Q8" s="7"/>
      <c r="R8" s="7"/>
      <c r="S8" s="7"/>
      <c r="U8" s="7" t="s">
        <v>12</v>
      </c>
      <c r="V8" s="7">
        <f>(Z4+Z2*Z1*2)*84/1000</f>
        <v>40</v>
      </c>
      <c r="W8" s="7">
        <f t="shared" si="0"/>
        <v>8.2285714285714281E-2</v>
      </c>
      <c r="X8" s="17"/>
    </row>
    <row r="9" spans="1:27" x14ac:dyDescent="0.25">
      <c r="A9" s="16" t="s">
        <v>13</v>
      </c>
      <c r="B9" s="7">
        <f>(0.64*84*H1)/1000</f>
        <v>20.309333333333331</v>
      </c>
      <c r="C9" s="7">
        <f>B9/B$10</f>
        <v>5.3759999999999995E-2</v>
      </c>
      <c r="D9" s="7"/>
      <c r="E9" s="7"/>
      <c r="F9" s="7"/>
      <c r="G9" s="7" t="s">
        <v>30</v>
      </c>
      <c r="H9" s="7">
        <f>B8</f>
        <v>22.1</v>
      </c>
      <c r="I9" s="7">
        <f>H9/H$15</f>
        <v>4.9724999999999998E-2</v>
      </c>
      <c r="J9" s="17"/>
      <c r="L9" s="7"/>
      <c r="N9" s="16" t="s">
        <v>13</v>
      </c>
      <c r="O9" s="7">
        <f>H10</f>
        <v>20.309333333333331</v>
      </c>
      <c r="P9" s="7">
        <f>O9/O$10</f>
        <v>4.5695999999999994E-2</v>
      </c>
      <c r="Q9" s="7"/>
      <c r="R9" s="7"/>
      <c r="S9" s="7"/>
      <c r="U9" s="7" t="s">
        <v>31</v>
      </c>
      <c r="V9" s="7">
        <f>(Z5+Z2*Z1)*60/1000</f>
        <v>14.285714285714286</v>
      </c>
      <c r="W9" s="7">
        <f t="shared" si="0"/>
        <v>2.9387755102040815E-2</v>
      </c>
      <c r="X9" s="17"/>
    </row>
    <row r="10" spans="1:27" x14ac:dyDescent="0.25">
      <c r="A10" s="16"/>
      <c r="B10" s="7">
        <f>SUM(B7:B9)</f>
        <v>377.77777777777777</v>
      </c>
      <c r="C10" s="7">
        <f>SUM(C7:C9)</f>
        <v>1</v>
      </c>
      <c r="D10" s="7"/>
      <c r="E10" s="7"/>
      <c r="F10" s="7"/>
      <c r="G10" s="7" t="s">
        <v>13</v>
      </c>
      <c r="H10" s="7">
        <f>B9</f>
        <v>20.309333333333331</v>
      </c>
      <c r="I10" s="7">
        <f>H10/H$15</f>
        <v>4.5695999999999994E-2</v>
      </c>
      <c r="J10" s="17"/>
      <c r="N10" s="16"/>
      <c r="O10" s="7">
        <f>SUM(O6:O9)</f>
        <v>444.44444444444446</v>
      </c>
      <c r="P10" s="7">
        <f>SUM(P6:P9)</f>
        <v>1</v>
      </c>
      <c r="Q10" s="7"/>
      <c r="R10" s="7"/>
      <c r="S10" s="7"/>
      <c r="U10" s="7" t="s">
        <v>18</v>
      </c>
      <c r="V10" s="7">
        <f>O7</f>
        <v>335.36844444444444</v>
      </c>
      <c r="W10" s="7">
        <f t="shared" si="0"/>
        <v>0.68990079999999998</v>
      </c>
      <c r="X10" s="17"/>
    </row>
    <row r="11" spans="1:27" x14ac:dyDescent="0.25">
      <c r="A11" s="16"/>
      <c r="B11" s="7"/>
      <c r="C11" s="7"/>
      <c r="D11" s="7"/>
      <c r="E11" s="7"/>
      <c r="F11" s="7"/>
      <c r="G11" s="7"/>
      <c r="H11" s="7">
        <f>SUM(H7:H10)</f>
        <v>444.44444444444446</v>
      </c>
      <c r="I11" s="7">
        <f>SUM(I7:I10)</f>
        <v>1</v>
      </c>
      <c r="J11" s="17"/>
      <c r="N11" s="16"/>
      <c r="O11" s="7"/>
      <c r="P11" s="7"/>
      <c r="Q11" s="7"/>
      <c r="R11" s="7"/>
      <c r="S11" s="7"/>
      <c r="U11" s="7" t="s">
        <v>13</v>
      </c>
      <c r="V11" s="7">
        <f>O8</f>
        <v>22.1</v>
      </c>
      <c r="W11" s="7">
        <f t="shared" si="0"/>
        <v>4.5462857142857145E-2</v>
      </c>
      <c r="X11" s="17"/>
    </row>
    <row r="12" spans="1:27" x14ac:dyDescent="0.25">
      <c r="A12" s="16"/>
      <c r="B12" s="7"/>
      <c r="C12" s="7"/>
      <c r="D12" s="7"/>
      <c r="E12" s="7"/>
      <c r="F12" s="7"/>
      <c r="G12" s="7"/>
      <c r="H12" s="7"/>
      <c r="I12" s="7"/>
      <c r="J12" s="17"/>
      <c r="N12" s="16"/>
      <c r="O12" s="7"/>
      <c r="P12" s="7"/>
      <c r="Q12" s="7"/>
      <c r="R12" s="7"/>
      <c r="S12" s="7"/>
      <c r="U12" s="7" t="s">
        <v>30</v>
      </c>
      <c r="V12" s="7">
        <f>O9</f>
        <v>20.309333333333331</v>
      </c>
      <c r="W12" s="7">
        <f t="shared" si="0"/>
        <v>4.1779199999999996E-2</v>
      </c>
      <c r="X12" s="17"/>
    </row>
    <row r="13" spans="1:27" x14ac:dyDescent="0.25">
      <c r="A13" s="16"/>
      <c r="J13" s="17"/>
      <c r="N13" s="16"/>
      <c r="O13" s="7"/>
      <c r="P13" s="7"/>
      <c r="Q13" s="7"/>
      <c r="R13" s="7"/>
      <c r="S13" s="7"/>
      <c r="U13" s="7"/>
      <c r="V13" s="7">
        <f>SUM(V6:V12)</f>
        <v>486.11111111111114</v>
      </c>
      <c r="W13" s="7">
        <f>SUM(W6:W12)</f>
        <v>1</v>
      </c>
      <c r="X13" s="17"/>
      <c r="AA13" s="7"/>
    </row>
    <row r="14" spans="1:27" x14ac:dyDescent="0.25">
      <c r="A14" s="16"/>
      <c r="B14" s="7"/>
      <c r="C14" s="7"/>
      <c r="D14" s="7"/>
      <c r="E14" s="7"/>
      <c r="F14" s="7"/>
      <c r="G14" s="7"/>
      <c r="H14" s="7"/>
      <c r="I14" s="7"/>
      <c r="J14" s="17"/>
      <c r="K14" s="16"/>
      <c r="N14" s="16"/>
      <c r="O14" s="7"/>
      <c r="P14" s="7"/>
      <c r="Q14" s="7"/>
      <c r="R14" s="7"/>
      <c r="S14" s="7"/>
      <c r="T14" s="7"/>
      <c r="U14" s="7"/>
      <c r="V14" s="7"/>
      <c r="W14" s="7"/>
      <c r="X14" s="17"/>
    </row>
    <row r="15" spans="1:27" ht="15.75" thickBot="1" x14ac:dyDescent="0.3">
      <c r="A15" s="16" t="s">
        <v>65</v>
      </c>
      <c r="B15" s="7">
        <f>B10+E7</f>
        <v>444.44444444444446</v>
      </c>
      <c r="C15" s="7" t="s">
        <v>22</v>
      </c>
      <c r="D15" s="7"/>
      <c r="E15" s="7"/>
      <c r="F15" s="7"/>
      <c r="G15" s="7" t="s">
        <v>66</v>
      </c>
      <c r="H15" s="7">
        <f>SUM(H7:H10)</f>
        <v>444.44444444444446</v>
      </c>
      <c r="I15" s="7" t="s">
        <v>22</v>
      </c>
      <c r="J15" s="17"/>
      <c r="N15" s="20" t="s">
        <v>65</v>
      </c>
      <c r="O15" s="21">
        <f>O10+R6</f>
        <v>486.11111111111114</v>
      </c>
      <c r="P15" s="21" t="s">
        <v>22</v>
      </c>
      <c r="Q15" s="21"/>
      <c r="R15" s="21"/>
      <c r="S15" s="21"/>
      <c r="T15" s="21"/>
      <c r="U15" s="21" t="s">
        <v>66</v>
      </c>
      <c r="V15" s="21">
        <f>SUM(V6:V12)</f>
        <v>486.11111111111114</v>
      </c>
      <c r="W15" s="21" t="s">
        <v>22</v>
      </c>
      <c r="X15" s="22"/>
    </row>
    <row r="16" spans="1:27" ht="16.5" thickTop="1" thickBot="1" x14ac:dyDescent="0.3">
      <c r="A16" s="20"/>
      <c r="B16" s="21"/>
      <c r="C16" s="21"/>
      <c r="D16" s="21"/>
      <c r="E16" s="21"/>
      <c r="F16" s="21"/>
      <c r="G16" s="21"/>
      <c r="H16" s="21"/>
      <c r="I16" s="21"/>
      <c r="J16" s="22"/>
    </row>
    <row r="17" spans="1:24" ht="16.5" thickTop="1" thickBot="1" x14ac:dyDescent="0.3">
      <c r="X17" s="7"/>
    </row>
    <row r="18" spans="1:24" ht="27" thickTop="1" x14ac:dyDescent="0.4">
      <c r="A18" s="13" t="s">
        <v>83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N18" s="13" t="s">
        <v>19</v>
      </c>
      <c r="O18" s="14"/>
      <c r="P18" s="14"/>
      <c r="Q18" s="14"/>
      <c r="R18" s="14"/>
      <c r="S18" s="14"/>
      <c r="T18" s="14"/>
      <c r="U18" s="14"/>
      <c r="V18" s="15"/>
    </row>
    <row r="19" spans="1:24" x14ac:dyDescent="0.25">
      <c r="A19" s="16"/>
      <c r="B19" s="7"/>
      <c r="C19" s="7"/>
      <c r="D19" s="7"/>
      <c r="E19" s="7"/>
      <c r="F19" s="7"/>
      <c r="G19" s="7"/>
      <c r="H19" s="7"/>
      <c r="I19" s="7"/>
      <c r="J19" s="7"/>
      <c r="K19" s="7"/>
      <c r="L19" s="17"/>
      <c r="N19" s="16"/>
      <c r="O19" s="7"/>
      <c r="P19" s="7"/>
      <c r="Q19" s="7"/>
      <c r="R19" s="7"/>
      <c r="S19" s="7"/>
      <c r="T19" s="7"/>
      <c r="U19" s="7"/>
      <c r="V19" s="17"/>
    </row>
    <row r="20" spans="1:24" x14ac:dyDescent="0.25">
      <c r="A20" s="23"/>
      <c r="B20" s="11" t="s">
        <v>4</v>
      </c>
      <c r="C20" s="11" t="s">
        <v>1</v>
      </c>
      <c r="D20" s="11"/>
      <c r="E20" s="11"/>
      <c r="F20" s="11" t="s">
        <v>7</v>
      </c>
      <c r="G20" s="11" t="s">
        <v>8</v>
      </c>
      <c r="H20" s="7"/>
      <c r="I20" s="7"/>
      <c r="J20" s="7"/>
      <c r="K20" s="7"/>
      <c r="L20" s="17"/>
      <c r="N20" s="23"/>
      <c r="O20" s="11" t="s">
        <v>4</v>
      </c>
      <c r="P20" s="11" t="s">
        <v>1</v>
      </c>
      <c r="Q20" s="11"/>
      <c r="R20" s="11"/>
      <c r="S20" s="11" t="s">
        <v>7</v>
      </c>
      <c r="T20" s="11" t="s">
        <v>8</v>
      </c>
      <c r="U20" s="7"/>
      <c r="V20" s="17"/>
    </row>
    <row r="21" spans="1:24" x14ac:dyDescent="0.25">
      <c r="A21" s="24" t="s">
        <v>85</v>
      </c>
      <c r="B21" s="11">
        <f>150</f>
        <v>150</v>
      </c>
      <c r="C21" s="11">
        <f>B21+273</f>
        <v>423</v>
      </c>
      <c r="D21" s="11"/>
      <c r="E21" s="11" t="s">
        <v>84</v>
      </c>
      <c r="F21" s="11">
        <v>2.5</v>
      </c>
      <c r="G21" s="11">
        <f>F21*100</f>
        <v>250</v>
      </c>
      <c r="H21" s="7"/>
      <c r="I21" s="7"/>
      <c r="J21" s="7"/>
      <c r="K21" s="7"/>
      <c r="L21" s="17"/>
      <c r="N21" s="24" t="s">
        <v>85</v>
      </c>
      <c r="O21" s="11">
        <v>50</v>
      </c>
      <c r="P21" s="11">
        <f>O21+273</f>
        <v>323</v>
      </c>
      <c r="Q21" s="11"/>
      <c r="R21" s="11" t="s">
        <v>84</v>
      </c>
      <c r="S21" s="11">
        <v>0.3</v>
      </c>
      <c r="T21" s="11">
        <f>S21*100</f>
        <v>30</v>
      </c>
      <c r="U21" s="7"/>
      <c r="V21" s="17"/>
    </row>
    <row r="22" spans="1:24" ht="22.5" x14ac:dyDescent="0.45">
      <c r="A22" s="16"/>
      <c r="B22" s="7"/>
      <c r="C22" s="7"/>
      <c r="D22" s="7"/>
      <c r="E22" s="7"/>
      <c r="F22" s="7"/>
      <c r="G22" s="25" t="s">
        <v>57</v>
      </c>
      <c r="H22" s="7"/>
      <c r="I22" s="26" t="s">
        <v>58</v>
      </c>
      <c r="J22" s="7"/>
      <c r="K22" s="7"/>
      <c r="L22" s="17"/>
      <c r="N22" s="16"/>
      <c r="O22" s="7"/>
      <c r="P22" s="7"/>
      <c r="Q22" s="25" t="s">
        <v>57</v>
      </c>
      <c r="R22" s="7"/>
      <c r="S22" s="26" t="s">
        <v>58</v>
      </c>
      <c r="T22" s="7"/>
      <c r="U22" s="7"/>
      <c r="V22" s="17"/>
    </row>
    <row r="23" spans="1:24" x14ac:dyDescent="0.25">
      <c r="A23" s="16"/>
      <c r="B23" s="7"/>
      <c r="C23" s="7"/>
      <c r="D23" s="7"/>
      <c r="E23" s="7"/>
      <c r="F23" s="7"/>
      <c r="G23" s="9" t="s">
        <v>78</v>
      </c>
      <c r="H23" s="7"/>
      <c r="I23" s="27" t="s">
        <v>76</v>
      </c>
      <c r="J23" s="7"/>
      <c r="K23" s="27" t="s">
        <v>77</v>
      </c>
      <c r="L23" s="17"/>
      <c r="N23" s="16"/>
      <c r="O23" s="7"/>
      <c r="P23" s="7"/>
      <c r="Q23" s="9" t="s">
        <v>80</v>
      </c>
      <c r="R23" s="7"/>
      <c r="S23" s="27" t="s">
        <v>81</v>
      </c>
      <c r="T23" s="7"/>
      <c r="U23" s="27" t="s">
        <v>82</v>
      </c>
      <c r="V23" s="17"/>
    </row>
    <row r="24" spans="1:24" x14ac:dyDescent="0.25">
      <c r="A24" s="16"/>
      <c r="B24" s="12" t="s">
        <v>2</v>
      </c>
      <c r="C24" s="12" t="s">
        <v>3</v>
      </c>
      <c r="D24" s="12" t="s">
        <v>4</v>
      </c>
      <c r="E24" s="7" t="s">
        <v>9</v>
      </c>
      <c r="F24" s="7" t="s">
        <v>10</v>
      </c>
      <c r="G24" s="7" t="s">
        <v>11</v>
      </c>
      <c r="H24" s="7" t="s">
        <v>24</v>
      </c>
      <c r="I24" s="7" t="s">
        <v>5</v>
      </c>
      <c r="J24" s="7" t="s">
        <v>24</v>
      </c>
      <c r="K24" s="7" t="s">
        <v>6</v>
      </c>
      <c r="L24" s="17" t="s">
        <v>22</v>
      </c>
      <c r="N24" s="16"/>
      <c r="O24" s="7" t="s">
        <v>9</v>
      </c>
      <c r="P24" s="7" t="s">
        <v>10</v>
      </c>
      <c r="Q24" s="7" t="s">
        <v>79</v>
      </c>
      <c r="R24" s="7" t="s">
        <v>24</v>
      </c>
      <c r="S24" s="7" t="s">
        <v>14</v>
      </c>
      <c r="T24" s="7" t="s">
        <v>24</v>
      </c>
      <c r="U24" s="7" t="s">
        <v>15</v>
      </c>
      <c r="V24" s="17" t="s">
        <v>24</v>
      </c>
    </row>
    <row r="25" spans="1:24" x14ac:dyDescent="0.25">
      <c r="A25" s="16" t="s">
        <v>17</v>
      </c>
      <c r="B25" s="12">
        <f>4.78</f>
        <v>4.78</v>
      </c>
      <c r="C25" s="12">
        <f>1028</f>
        <v>1028</v>
      </c>
      <c r="D25" s="12">
        <f>6</f>
        <v>6</v>
      </c>
      <c r="E25" s="7">
        <f>EXP((B25)-((C25)/(C21+D25)))</f>
        <v>10.845276111258364</v>
      </c>
      <c r="F25" s="7">
        <f>E25/G21</f>
        <v>4.3381104445033458E-2</v>
      </c>
      <c r="G25" s="7">
        <f t="shared" ref="G25:G31" si="1">W6</f>
        <v>6.8571428571428575E-2</v>
      </c>
      <c r="H25" s="7">
        <f t="shared" ref="H25:H31" si="2">V6</f>
        <v>33.333333333333336</v>
      </c>
      <c r="I25" s="7">
        <f>(G25*F25)/((1+B34*(F25-1)))</f>
        <v>3.238941887891914E-3</v>
      </c>
      <c r="J25" s="7">
        <f>$C$35*I25</f>
        <v>0.13427376953336495</v>
      </c>
      <c r="K25" s="7">
        <f t="shared" ref="K25:K30" si="3">I25/F25</f>
        <v>7.4662504086216927E-2</v>
      </c>
      <c r="L25" s="17">
        <f>C$39*K25</f>
        <v>33.199059563799963</v>
      </c>
      <c r="M25" s="5"/>
      <c r="N25" s="16" t="s">
        <v>17</v>
      </c>
      <c r="O25" s="7">
        <f>EXP((B25)-((C25)/(P21+D25)))</f>
        <v>5.2350685521834723</v>
      </c>
      <c r="P25" s="7">
        <f>O25/T21</f>
        <v>0.1745022850727824</v>
      </c>
      <c r="Q25" s="7">
        <f t="shared" ref="Q25:R31" si="4">K25</f>
        <v>7.4662504086216927E-2</v>
      </c>
      <c r="R25" s="7">
        <f t="shared" si="4"/>
        <v>33.199059563799963</v>
      </c>
      <c r="S25" s="7">
        <f>(K25*P25)/((1+P34*(P25-1)))</f>
        <v>1.3183565496074572E-2</v>
      </c>
      <c r="T25" s="7">
        <f t="shared" ref="T25:T31" si="5">S25*Q$35</f>
        <v>8.3376647685936792E-2</v>
      </c>
      <c r="U25" s="7">
        <f t="shared" ref="U25:U31" si="6">S25/P25</f>
        <v>7.5549529283103059E-2</v>
      </c>
      <c r="V25" s="17">
        <f t="shared" ref="V25:V31" si="7">U25*Q$39</f>
        <v>33.115682916114025</v>
      </c>
    </row>
    <row r="26" spans="1:24" x14ac:dyDescent="0.25">
      <c r="A26" s="16" t="s">
        <v>16</v>
      </c>
      <c r="B26" s="12">
        <f>6.8122</f>
        <v>6.8121999999999998</v>
      </c>
      <c r="C26" s="12">
        <f>1301.679</f>
        <v>1301.6790000000001</v>
      </c>
      <c r="D26" s="12">
        <v>-3.4940000000000002</v>
      </c>
      <c r="E26" s="7">
        <f>7074.14</f>
        <v>7074.14</v>
      </c>
      <c r="F26" s="7">
        <f>E26/G21</f>
        <v>28.296560000000003</v>
      </c>
      <c r="G26" s="7">
        <f t="shared" si="1"/>
        <v>4.2612244897959173E-2</v>
      </c>
      <c r="H26" s="7">
        <f t="shared" si="2"/>
        <v>20.714285714285712</v>
      </c>
      <c r="I26" s="7">
        <f>(G26*F26)/((1+B34*(F26-1)))</f>
        <v>0.36232686228093752</v>
      </c>
      <c r="J26" s="7">
        <f>$C$35*I26</f>
        <v>15.020644175040347</v>
      </c>
      <c r="K26" s="7">
        <f>I26/F26</f>
        <v>1.2804625801897385E-2</v>
      </c>
      <c r="L26" s="17">
        <f t="shared" ref="L26:L30" si="8">C$39*K26</f>
        <v>5.6936415392453608</v>
      </c>
      <c r="M26" s="5"/>
      <c r="N26" s="16" t="s">
        <v>16</v>
      </c>
      <c r="O26" s="7">
        <v>7074.14</v>
      </c>
      <c r="P26" s="7">
        <f>O26/T21</f>
        <v>235.80466666666669</v>
      </c>
      <c r="Q26" s="7">
        <f t="shared" si="4"/>
        <v>1.2804625801897385E-2</v>
      </c>
      <c r="R26" s="7">
        <f t="shared" si="4"/>
        <v>5.6936415392453608</v>
      </c>
      <c r="S26" s="7">
        <f>(K26*P26)/((1+P34*(P26-1)))</f>
        <v>0.69577550041016145</v>
      </c>
      <c r="T26" s="7">
        <f>S26*Q$35</f>
        <v>4.4002837307917497</v>
      </c>
      <c r="U26" s="7">
        <f t="shared" si="6"/>
        <v>2.9506434721824622E-3</v>
      </c>
      <c r="V26" s="17">
        <f t="shared" si="7"/>
        <v>1.2933578084536117</v>
      </c>
    </row>
    <row r="27" spans="1:24" x14ac:dyDescent="0.25">
      <c r="A27" s="16" t="s">
        <v>12</v>
      </c>
      <c r="B27" s="12">
        <f>3.553</f>
        <v>3.5529999999999999</v>
      </c>
      <c r="C27" s="12">
        <f>974</f>
        <v>974</v>
      </c>
      <c r="D27" s="12">
        <f>-85</f>
        <v>-85</v>
      </c>
      <c r="E27" s="7">
        <f>EXP((B27)-((C27)/(C21+D27)))</f>
        <v>1.9568640066353742</v>
      </c>
      <c r="F27" s="7">
        <f>E27/G21</f>
        <v>7.8274560265414964E-3</v>
      </c>
      <c r="G27" s="7">
        <f t="shared" si="1"/>
        <v>8.2285714285714281E-2</v>
      </c>
      <c r="H27" s="7">
        <f t="shared" si="2"/>
        <v>40</v>
      </c>
      <c r="I27" s="7">
        <f>(G27*F27)/((1+B34*(F27-1)))</f>
        <v>7.0362389354422495E-4</v>
      </c>
      <c r="J27" s="7">
        <f t="shared" ref="J27:J31" si="9">$C$35*I27</f>
        <v>2.9169474411724607E-2</v>
      </c>
      <c r="K27" s="7">
        <f t="shared" si="3"/>
        <v>8.989177213622955E-2</v>
      </c>
      <c r="L27" s="17">
        <f t="shared" si="8"/>
        <v>39.970830525588276</v>
      </c>
      <c r="M27" s="5"/>
      <c r="N27" s="16" t="s">
        <v>12</v>
      </c>
      <c r="O27" s="7">
        <v>0.01</v>
      </c>
      <c r="P27" s="7">
        <f>O27/T21</f>
        <v>3.3333333333333332E-4</v>
      </c>
      <c r="Q27" s="7">
        <f t="shared" si="4"/>
        <v>8.989177213622955E-2</v>
      </c>
      <c r="R27" s="7">
        <f t="shared" si="4"/>
        <v>39.970830525588276</v>
      </c>
      <c r="S27" s="7">
        <f>(K27*P27)/((1+P34*(P27-1)))</f>
        <v>3.0396100801646522E-5</v>
      </c>
      <c r="T27" s="7">
        <f t="shared" si="5"/>
        <v>1.922336554795971E-4</v>
      </c>
      <c r="U27" s="7">
        <f t="shared" si="6"/>
        <v>9.1188302404939567E-2</v>
      </c>
      <c r="V27" s="17">
        <f t="shared" si="7"/>
        <v>39.970638291932794</v>
      </c>
    </row>
    <row r="28" spans="1:24" x14ac:dyDescent="0.25">
      <c r="A28" s="16" t="s">
        <v>31</v>
      </c>
      <c r="B28" s="12">
        <f>7.286</f>
        <v>7.2859999999999996</v>
      </c>
      <c r="C28" s="12">
        <f>20008</f>
        <v>20008</v>
      </c>
      <c r="D28" s="12">
        <f>58.883</f>
        <v>58.883000000000003</v>
      </c>
      <c r="E28" s="7">
        <f>EXP((B28)-((C28)/(C21+D28)))</f>
        <v>1.3557086885296695E-15</v>
      </c>
      <c r="F28" s="7">
        <f>E28/G21</f>
        <v>5.422834754118678E-18</v>
      </c>
      <c r="G28" s="7">
        <f t="shared" si="1"/>
        <v>2.9387755102040815E-2</v>
      </c>
      <c r="H28" s="7">
        <f t="shared" si="2"/>
        <v>14.285714285714286</v>
      </c>
      <c r="I28" s="7">
        <f>(G28*F28)/((1+B34*(F28-1)))</f>
        <v>1.7422284473802471E-19</v>
      </c>
      <c r="J28" s="7">
        <f t="shared" si="9"/>
        <v>7.2225927205586884E-18</v>
      </c>
      <c r="K28" s="7">
        <f t="shared" si="3"/>
        <v>3.2127632988576932E-2</v>
      </c>
      <c r="L28" s="17">
        <f>C$39*K28</f>
        <v>14.285714285714285</v>
      </c>
      <c r="M28" s="5"/>
      <c r="N28" s="16" t="s">
        <v>31</v>
      </c>
      <c r="O28" s="7">
        <f>EXP((B28)-((C28)/(P21+D28)))</f>
        <v>2.5720196214685076E-20</v>
      </c>
      <c r="P28" s="7">
        <f>O28/T21</f>
        <v>8.5733987382283584E-22</v>
      </c>
      <c r="Q28" s="7">
        <f t="shared" si="4"/>
        <v>3.2127632988576932E-2</v>
      </c>
      <c r="R28" s="7">
        <f t="shared" si="4"/>
        <v>14.285714285714285</v>
      </c>
      <c r="S28" s="7">
        <f>(K28*P28)/((1+P34*(P28-1)))</f>
        <v>2.794171315274417E-23</v>
      </c>
      <c r="T28" s="7">
        <f t="shared" si="5"/>
        <v>1.7671140435958123E-22</v>
      </c>
      <c r="U28" s="7">
        <f t="shared" si="6"/>
        <v>3.259117417244746E-2</v>
      </c>
      <c r="V28" s="17">
        <f t="shared" si="7"/>
        <v>14.285714285714285</v>
      </c>
    </row>
    <row r="29" spans="1:24" x14ac:dyDescent="0.25">
      <c r="A29" s="16" t="s">
        <v>18</v>
      </c>
      <c r="B29" s="12">
        <f>8.14</f>
        <v>8.14</v>
      </c>
      <c r="C29" s="12">
        <f>1810.94</f>
        <v>1810.94</v>
      </c>
      <c r="D29" s="12">
        <f>244.485</f>
        <v>244.48500000000001</v>
      </c>
      <c r="E29" s="7">
        <f>EXP((B29)-((C29)/(C21+D29)))</f>
        <v>227.44769624094479</v>
      </c>
      <c r="F29" s="7">
        <f>E29/G21</f>
        <v>0.90979078496377919</v>
      </c>
      <c r="G29" s="7">
        <f t="shared" si="1"/>
        <v>0.68990079999999998</v>
      </c>
      <c r="H29" s="7">
        <f t="shared" si="2"/>
        <v>335.36844444444444</v>
      </c>
      <c r="I29" s="7">
        <f>(G29*F29)/((1+B34*(F29-1)))</f>
        <v>0.63253154122522737</v>
      </c>
      <c r="J29" s="7">
        <f t="shared" si="9"/>
        <v>26.222265582029042</v>
      </c>
      <c r="K29" s="7">
        <f t="shared" si="3"/>
        <v>0.69524944820188506</v>
      </c>
      <c r="L29" s="17">
        <f t="shared" si="8"/>
        <v>309.14617886241541</v>
      </c>
      <c r="M29" s="5"/>
      <c r="N29" s="16" t="s">
        <v>18</v>
      </c>
      <c r="O29" s="7">
        <f>12.266</f>
        <v>12.266</v>
      </c>
      <c r="P29" s="7">
        <f>O29/T21</f>
        <v>0.40886666666666666</v>
      </c>
      <c r="Q29" s="7">
        <f t="shared" si="4"/>
        <v>0.69524944820188506</v>
      </c>
      <c r="R29" s="7">
        <f t="shared" si="4"/>
        <v>309.14617886241541</v>
      </c>
      <c r="S29" s="7">
        <f>(K29*P29)/((1+P34*(P29-1)))</f>
        <v>0.2866745791604644</v>
      </c>
      <c r="T29" s="7">
        <f t="shared" si="5"/>
        <v>1.8130122230054597</v>
      </c>
      <c r="U29" s="7">
        <f t="shared" si="6"/>
        <v>0.70114441340403821</v>
      </c>
      <c r="V29" s="17">
        <f t="shared" si="7"/>
        <v>307.33316663941002</v>
      </c>
    </row>
    <row r="30" spans="1:24" x14ac:dyDescent="0.25">
      <c r="A30" s="16" t="s">
        <v>13</v>
      </c>
      <c r="B30" s="12">
        <f>4.56</f>
        <v>4.5599999999999996</v>
      </c>
      <c r="C30" s="12">
        <f>1175</f>
        <v>1175</v>
      </c>
      <c r="D30" s="12">
        <f>2.6</f>
        <v>2.6</v>
      </c>
      <c r="E30" s="7">
        <f>EXP((B30)-((C30)/(C21+D30)))</f>
        <v>6.0447596873526717</v>
      </c>
      <c r="F30" s="7">
        <f>E30/G21</f>
        <v>2.4179038749410686E-2</v>
      </c>
      <c r="G30" s="7">
        <f t="shared" si="1"/>
        <v>4.5462857142857145E-2</v>
      </c>
      <c r="H30" s="7">
        <f t="shared" si="2"/>
        <v>22.1</v>
      </c>
      <c r="I30" s="7">
        <f>(G30*F30)/((1+B34*(F30-1)))</f>
        <v>1.199030317762318E-3</v>
      </c>
      <c r="J30" s="7">
        <f t="shared" si="9"/>
        <v>4.9707072903219518E-2</v>
      </c>
      <c r="K30" s="7">
        <f t="shared" si="3"/>
        <v>4.9589660291666553E-2</v>
      </c>
      <c r="L30" s="17">
        <f t="shared" si="8"/>
        <v>22.050292927096784</v>
      </c>
      <c r="M30" s="5"/>
      <c r="N30" s="16" t="s">
        <v>13</v>
      </c>
      <c r="O30" s="7">
        <f>EXP((B30)-((C30)/(P21+D30)))</f>
        <v>2.5890153800215168</v>
      </c>
      <c r="P30" s="7">
        <f>O30/T21</f>
        <v>8.6300512667383894E-2</v>
      </c>
      <c r="Q30" s="7">
        <f t="shared" si="4"/>
        <v>4.9589660291666553E-2</v>
      </c>
      <c r="R30" s="7">
        <f t="shared" si="4"/>
        <v>22.050292927096784</v>
      </c>
      <c r="S30" s="7">
        <f>(K30*P30)/((1+P34*(P30-1)))</f>
        <v>4.33596091840323E-3</v>
      </c>
      <c r="T30" s="7">
        <f t="shared" si="5"/>
        <v>2.7421859889218858E-2</v>
      </c>
      <c r="U30" s="7">
        <f t="shared" si="6"/>
        <v>5.0242585871010097E-2</v>
      </c>
      <c r="V30" s="17">
        <f t="shared" si="7"/>
        <v>22.022871067207564</v>
      </c>
    </row>
    <row r="31" spans="1:24" x14ac:dyDescent="0.25">
      <c r="A31" s="16" t="s">
        <v>30</v>
      </c>
      <c r="B31" s="12">
        <f>3.56</f>
        <v>3.56</v>
      </c>
      <c r="C31" s="12">
        <v>5200</v>
      </c>
      <c r="D31" s="12">
        <v>-317</v>
      </c>
      <c r="E31" s="7">
        <f>EXP((B31)-((C31)/(C21+D31)))</f>
        <v>1.7421118536929565E-20</v>
      </c>
      <c r="F31" s="7">
        <f>E31/G21</f>
        <v>6.9684474147718261E-23</v>
      </c>
      <c r="G31" s="7">
        <f t="shared" si="1"/>
        <v>4.1779199999999996E-2</v>
      </c>
      <c r="H31" s="7">
        <f t="shared" si="2"/>
        <v>20.309333333333331</v>
      </c>
      <c r="I31" s="7">
        <f>(G31*F31)/((1+B34*(F31-1)))</f>
        <v>3.1827935168507756E-24</v>
      </c>
      <c r="J31" s="7">
        <f t="shared" si="9"/>
        <v>1.319460792895123E-22</v>
      </c>
      <c r="K31" s="7">
        <f>I31/F31</f>
        <v>4.5674356530320356E-2</v>
      </c>
      <c r="L31" s="17">
        <f>C$39*K31</f>
        <v>20.309333333333331</v>
      </c>
      <c r="M31" s="5"/>
      <c r="N31" s="16" t="s">
        <v>30</v>
      </c>
      <c r="O31" s="7">
        <f>0.00014</f>
        <v>1.3999999999999999E-4</v>
      </c>
      <c r="P31" s="7">
        <f>O31/T21</f>
        <v>4.6666666666666663E-6</v>
      </c>
      <c r="Q31" s="7">
        <f t="shared" si="4"/>
        <v>4.5674356530320356E-2</v>
      </c>
      <c r="R31" s="7">
        <f t="shared" si="4"/>
        <v>20.309333333333331</v>
      </c>
      <c r="S31" s="7">
        <f>(K31*P31)/((1+P34*(P31-1)))</f>
        <v>2.1622229197252632E-7</v>
      </c>
      <c r="T31" s="7">
        <f t="shared" si="5"/>
        <v>1.3674517614378992E-6</v>
      </c>
      <c r="U31" s="7">
        <f t="shared" si="6"/>
        <v>4.6333348279827075E-2</v>
      </c>
      <c r="V31" s="17">
        <f t="shared" si="7"/>
        <v>20.309331965881572</v>
      </c>
    </row>
    <row r="32" spans="1:24" x14ac:dyDescent="0.25">
      <c r="A32" s="16"/>
      <c r="B32" s="7"/>
      <c r="C32" s="7"/>
      <c r="D32" s="7"/>
      <c r="E32" s="7"/>
      <c r="F32" s="11"/>
      <c r="G32" s="11">
        <f t="shared" ref="G32:K32" si="10">SUM(G25:G31)</f>
        <v>1</v>
      </c>
      <c r="H32" s="7">
        <f t="shared" si="10"/>
        <v>486.11111111111114</v>
      </c>
      <c r="I32" s="11">
        <f t="shared" si="10"/>
        <v>0.99999999960536334</v>
      </c>
      <c r="J32" s="7">
        <f>SUM(J25:J31)</f>
        <v>41.456060073917698</v>
      </c>
      <c r="K32" s="11">
        <f t="shared" si="10"/>
        <v>1.0000000000367928</v>
      </c>
      <c r="L32" s="17">
        <f>SUM(L25:L31)</f>
        <v>444.6550510371934</v>
      </c>
      <c r="M32" s="6"/>
      <c r="N32" s="16"/>
      <c r="O32" s="7"/>
      <c r="P32" s="7"/>
      <c r="Q32" s="7">
        <f t="shared" ref="Q32:V32" si="11">SUM(Q25:Q31)</f>
        <v>1.0000000000367928</v>
      </c>
      <c r="R32" s="7">
        <f t="shared" si="11"/>
        <v>444.6550510371934</v>
      </c>
      <c r="S32" s="7">
        <f t="shared" si="11"/>
        <v>1.0000002183081975</v>
      </c>
      <c r="T32" s="7">
        <f t="shared" si="11"/>
        <v>6.3242880624796065</v>
      </c>
      <c r="U32" s="7">
        <f t="shared" si="11"/>
        <v>0.99999999688754782</v>
      </c>
      <c r="V32" s="17">
        <f t="shared" si="11"/>
        <v>438.33076297471393</v>
      </c>
    </row>
    <row r="33" spans="1:24" x14ac:dyDescent="0.25">
      <c r="A33" s="16"/>
      <c r="B33" s="7"/>
      <c r="C33" s="7"/>
      <c r="D33" s="7"/>
      <c r="E33" s="7"/>
      <c r="F33" s="7"/>
      <c r="G33" s="7"/>
      <c r="H33" s="7"/>
      <c r="I33" s="7"/>
      <c r="J33" s="7"/>
      <c r="K33" s="7"/>
      <c r="L33" s="17"/>
      <c r="N33" s="16"/>
      <c r="O33" s="7"/>
      <c r="P33" s="7"/>
      <c r="Q33" s="7"/>
      <c r="R33" s="7"/>
      <c r="S33" s="7"/>
      <c r="T33" s="7"/>
      <c r="U33" s="7"/>
      <c r="V33" s="17"/>
    </row>
    <row r="34" spans="1:24" x14ac:dyDescent="0.25">
      <c r="A34" s="16" t="s">
        <v>0</v>
      </c>
      <c r="B34" s="7">
        <f>0.0852810379</f>
        <v>8.5281037899999995E-2</v>
      </c>
      <c r="C34" s="7"/>
      <c r="D34" s="7"/>
      <c r="E34" s="7"/>
      <c r="F34" s="7"/>
      <c r="G34" s="7"/>
      <c r="H34" s="7"/>
      <c r="I34" s="7"/>
      <c r="J34" s="7"/>
      <c r="K34" s="7"/>
      <c r="L34" s="17"/>
      <c r="N34" s="16"/>
      <c r="O34" s="7" t="s">
        <v>0</v>
      </c>
      <c r="P34" s="7">
        <f>0.0142229053</f>
        <v>1.42229053E-2</v>
      </c>
      <c r="Q34" s="7"/>
      <c r="R34" s="7"/>
      <c r="S34" s="7"/>
      <c r="T34" s="7"/>
      <c r="U34" s="7"/>
      <c r="V34" s="17"/>
    </row>
    <row r="35" spans="1:24" x14ac:dyDescent="0.25">
      <c r="A35" s="16" t="s">
        <v>23</v>
      </c>
      <c r="B35" s="7"/>
      <c r="C35" s="7">
        <f>B34*H32</f>
        <v>41.456060090277781</v>
      </c>
      <c r="D35" s="7" t="s">
        <v>24</v>
      </c>
      <c r="E35" s="7"/>
      <c r="F35" s="7"/>
      <c r="G35" s="7"/>
      <c r="H35" s="7"/>
      <c r="I35" s="7"/>
      <c r="J35" s="7"/>
      <c r="K35" s="7"/>
      <c r="L35" s="17"/>
      <c r="N35" s="16"/>
      <c r="O35" s="7" t="s">
        <v>23</v>
      </c>
      <c r="P35" s="7"/>
      <c r="Q35" s="7">
        <f>P34*C39</f>
        <v>6.3242866818359813</v>
      </c>
      <c r="R35" s="7" t="s">
        <v>24</v>
      </c>
      <c r="S35" s="7"/>
      <c r="T35" s="7"/>
      <c r="U35" s="7"/>
      <c r="V35" s="17"/>
    </row>
    <row r="36" spans="1:24" x14ac:dyDescent="0.25">
      <c r="A36" s="16" t="s">
        <v>25</v>
      </c>
      <c r="B36" s="7"/>
      <c r="C36" s="7"/>
      <c r="D36" s="7"/>
      <c r="E36" s="7">
        <f>I26*C35</f>
        <v>15.020644175040347</v>
      </c>
      <c r="F36" s="7" t="s">
        <v>24</v>
      </c>
      <c r="G36" s="7" t="s">
        <v>96</v>
      </c>
      <c r="H36" s="7"/>
      <c r="I36" s="7">
        <f>H26</f>
        <v>20.714285714285712</v>
      </c>
      <c r="J36" s="7" t="s">
        <v>24</v>
      </c>
      <c r="K36" s="7"/>
      <c r="L36" s="17"/>
      <c r="N36" s="16"/>
      <c r="O36" s="7" t="s">
        <v>27</v>
      </c>
      <c r="P36" s="7"/>
      <c r="Q36" s="7">
        <f>Q35*S26</f>
        <v>4.4002837307917497</v>
      </c>
      <c r="R36" s="7" t="s">
        <v>24</v>
      </c>
      <c r="S36" s="7" t="s">
        <v>96</v>
      </c>
      <c r="T36" s="7"/>
      <c r="U36" s="7">
        <f>R26</f>
        <v>5.6936415392453608</v>
      </c>
      <c r="V36" s="17" t="s">
        <v>24</v>
      </c>
    </row>
    <row r="37" spans="1:24" x14ac:dyDescent="0.25">
      <c r="A37" s="16"/>
      <c r="B37" s="7"/>
      <c r="C37" s="7"/>
      <c r="D37" s="7"/>
      <c r="E37" s="7"/>
      <c r="F37" s="7"/>
      <c r="G37" s="7" t="s">
        <v>95</v>
      </c>
      <c r="H37" s="7"/>
      <c r="I37" s="7">
        <f>E36+E40</f>
        <v>20.714285714285708</v>
      </c>
      <c r="J37" s="7" t="s">
        <v>24</v>
      </c>
      <c r="K37" s="7"/>
      <c r="L37" s="17"/>
      <c r="N37" s="16"/>
      <c r="O37" s="7"/>
      <c r="P37" s="7"/>
      <c r="Q37" s="7"/>
      <c r="R37" s="7"/>
      <c r="S37" s="7" t="s">
        <v>95</v>
      </c>
      <c r="T37" s="7"/>
      <c r="U37" s="7">
        <f>R40+Q36</f>
        <v>5.6936415392453616</v>
      </c>
      <c r="V37" s="17" t="s">
        <v>24</v>
      </c>
    </row>
    <row r="38" spans="1:24" x14ac:dyDescent="0.25">
      <c r="A38" s="16" t="s">
        <v>20</v>
      </c>
      <c r="B38" s="7">
        <f>1-B34</f>
        <v>0.91471896210000003</v>
      </c>
      <c r="C38" s="7"/>
      <c r="D38" s="7"/>
      <c r="E38" s="7"/>
      <c r="F38" s="7"/>
      <c r="G38" s="7"/>
      <c r="H38" s="7"/>
      <c r="I38" s="7"/>
      <c r="J38" s="7"/>
      <c r="K38" s="7"/>
      <c r="L38" s="17"/>
      <c r="N38" s="16"/>
      <c r="O38" s="7" t="s">
        <v>20</v>
      </c>
      <c r="P38" s="7">
        <f>1-P34</f>
        <v>0.98577709469999997</v>
      </c>
      <c r="Q38" s="7"/>
      <c r="R38" s="7"/>
      <c r="S38" s="7"/>
      <c r="T38" s="7"/>
      <c r="U38" s="7"/>
      <c r="V38" s="17"/>
    </row>
    <row r="39" spans="1:24" x14ac:dyDescent="0.25">
      <c r="A39" s="16" t="s">
        <v>21</v>
      </c>
      <c r="B39" s="7"/>
      <c r="C39" s="7">
        <f>B38*H32</f>
        <v>444.65505102083335</v>
      </c>
      <c r="D39" s="7" t="s">
        <v>22</v>
      </c>
      <c r="E39" s="7"/>
      <c r="F39" s="7"/>
      <c r="G39" s="7"/>
      <c r="H39" s="7"/>
      <c r="I39" s="7"/>
      <c r="J39" s="7"/>
      <c r="K39" s="7"/>
      <c r="L39" s="17"/>
      <c r="N39" s="16"/>
      <c r="O39" s="7" t="s">
        <v>21</v>
      </c>
      <c r="P39" s="7"/>
      <c r="Q39" s="7">
        <f>P38*C39</f>
        <v>438.33076433899737</v>
      </c>
      <c r="R39" s="7"/>
      <c r="S39" s="7"/>
      <c r="T39" s="7"/>
      <c r="U39" s="7"/>
      <c r="V39" s="17"/>
    </row>
    <row r="40" spans="1:24" x14ac:dyDescent="0.25">
      <c r="A40" s="16" t="s">
        <v>26</v>
      </c>
      <c r="B40" s="7"/>
      <c r="C40" s="7"/>
      <c r="D40" s="7"/>
      <c r="E40" s="7">
        <f>K26*C39</f>
        <v>5.6936415392453608</v>
      </c>
      <c r="F40" s="7" t="s">
        <v>24</v>
      </c>
      <c r="G40" s="7"/>
      <c r="H40" s="7"/>
      <c r="I40" s="7"/>
      <c r="J40" s="7"/>
      <c r="K40" s="7"/>
      <c r="L40" s="17"/>
      <c r="N40" s="16"/>
      <c r="O40" s="7" t="s">
        <v>28</v>
      </c>
      <c r="P40" s="7"/>
      <c r="Q40" s="7"/>
      <c r="R40" s="7">
        <f>Q39*U26</f>
        <v>1.2933578084536117</v>
      </c>
      <c r="S40" s="7" t="s">
        <v>24</v>
      </c>
      <c r="T40" s="7"/>
      <c r="U40" s="7"/>
      <c r="V40" s="17"/>
    </row>
    <row r="41" spans="1:24" ht="21" x14ac:dyDescent="0.35">
      <c r="A41" s="28" t="s">
        <v>29</v>
      </c>
      <c r="B41" s="7"/>
      <c r="C41" s="7"/>
      <c r="D41" s="7">
        <f>((G26*F26)/((1+B34*(F26-1)))+(G25*F25)/((1+B34*(F25-1)))+(G27*F27)/((1+B34*(F27-1)))+(G29*F29)/((1+B34*(F29-1)))+(G30*F30)/((1+B34*(F30-1))))</f>
        <v>0.99999999960536334</v>
      </c>
      <c r="E41" s="7"/>
      <c r="F41" s="7"/>
      <c r="G41" s="7"/>
      <c r="H41" s="7"/>
      <c r="I41" s="7"/>
      <c r="J41" s="7"/>
      <c r="K41" s="7"/>
      <c r="L41" s="17"/>
      <c r="N41" s="16"/>
      <c r="O41" s="7"/>
      <c r="P41" s="29" t="s">
        <v>29</v>
      </c>
      <c r="Q41" s="7"/>
      <c r="R41" s="7"/>
      <c r="S41" s="7">
        <f>((K26*P26)/((1+P34*(P26-1)))+(K25*P25)/((1+P34*(P25-1)))+(K27*P27)/((1+P34*(P27-1)))+(K29*P29)/((1+P34*(P29-1)))+(K30*P30)/((1+P34*(P30-1))))</f>
        <v>1.0000000020859054</v>
      </c>
      <c r="T41" s="7"/>
      <c r="U41" s="7"/>
      <c r="V41" s="17"/>
    </row>
    <row r="42" spans="1:24" x14ac:dyDescent="0.25">
      <c r="A42" s="16"/>
      <c r="B42" s="7"/>
      <c r="C42" s="7"/>
      <c r="D42" s="7"/>
      <c r="E42" s="7"/>
      <c r="F42" s="7"/>
      <c r="G42" s="7"/>
      <c r="H42" s="7"/>
      <c r="I42" s="7"/>
      <c r="J42" s="7"/>
      <c r="K42" s="7"/>
      <c r="L42" s="17"/>
      <c r="N42" s="16"/>
      <c r="O42" s="7"/>
      <c r="P42" s="7"/>
      <c r="Q42" s="7"/>
      <c r="R42" s="7"/>
      <c r="S42" s="7"/>
      <c r="T42" s="7"/>
      <c r="U42" s="7"/>
      <c r="V42" s="17"/>
    </row>
    <row r="43" spans="1:24" ht="15.75" thickBot="1" x14ac:dyDescent="0.3">
      <c r="A43" s="20"/>
      <c r="B43" s="21"/>
      <c r="C43" s="21"/>
      <c r="D43" s="21"/>
      <c r="E43" s="21"/>
      <c r="F43" s="21"/>
      <c r="G43" s="21" t="s">
        <v>65</v>
      </c>
      <c r="H43" s="21">
        <f>H32</f>
        <v>486.11111111111114</v>
      </c>
      <c r="I43" s="21"/>
      <c r="J43" s="21" t="s">
        <v>66</v>
      </c>
      <c r="K43" s="21">
        <f>J32+L32</f>
        <v>486.11111111111109</v>
      </c>
      <c r="L43" s="22"/>
      <c r="N43" s="20"/>
      <c r="O43" s="21"/>
      <c r="P43" s="21"/>
      <c r="Q43" s="21" t="s">
        <v>65</v>
      </c>
      <c r="R43" s="21">
        <f>R32</f>
        <v>444.6550510371934</v>
      </c>
      <c r="S43" s="21"/>
      <c r="T43" s="21" t="s">
        <v>66</v>
      </c>
      <c r="U43" s="21">
        <f>V32+T32</f>
        <v>444.65505103719352</v>
      </c>
      <c r="V43" s="22"/>
    </row>
    <row r="44" spans="1:24" ht="16.5" thickTop="1" thickBot="1" x14ac:dyDescent="0.3"/>
    <row r="45" spans="1:24" ht="27" thickTop="1" x14ac:dyDescent="0.4">
      <c r="A45" s="33" t="s">
        <v>87</v>
      </c>
      <c r="B45" s="30"/>
      <c r="C45" s="14"/>
      <c r="D45" s="14"/>
      <c r="E45" s="14"/>
      <c r="F45" s="14"/>
      <c r="G45" s="14"/>
      <c r="H45" s="14"/>
      <c r="I45" s="14"/>
      <c r="J45" s="15"/>
      <c r="K45" s="7"/>
      <c r="L45" s="7"/>
      <c r="N45" s="33" t="s">
        <v>86</v>
      </c>
      <c r="O45" s="14"/>
      <c r="P45" s="14"/>
      <c r="Q45" s="14"/>
      <c r="R45" s="14"/>
      <c r="S45" s="14"/>
      <c r="T45" s="14"/>
      <c r="U45" s="14"/>
      <c r="V45" s="14"/>
      <c r="W45" s="14"/>
      <c r="X45" s="15"/>
    </row>
    <row r="46" spans="1:24" ht="22.5" x14ac:dyDescent="0.45">
      <c r="A46" s="31" t="s">
        <v>57</v>
      </c>
      <c r="B46" s="7"/>
      <c r="C46" s="7"/>
      <c r="D46" s="26" t="s">
        <v>58</v>
      </c>
      <c r="E46" s="7"/>
      <c r="F46" s="7"/>
      <c r="G46" s="7"/>
      <c r="H46" s="7"/>
      <c r="I46" s="7"/>
      <c r="J46" s="17"/>
      <c r="K46" s="7"/>
      <c r="L46" s="7"/>
      <c r="N46" s="31" t="s">
        <v>57</v>
      </c>
      <c r="O46" s="7"/>
      <c r="P46" s="7"/>
      <c r="Q46" s="7"/>
      <c r="R46" s="26" t="s">
        <v>58</v>
      </c>
      <c r="S46" s="7"/>
      <c r="T46" s="7"/>
      <c r="U46" s="7"/>
      <c r="V46" s="7"/>
      <c r="W46" s="7"/>
      <c r="X46" s="17"/>
    </row>
    <row r="47" spans="1:24" x14ac:dyDescent="0.25">
      <c r="A47" s="19" t="s">
        <v>76</v>
      </c>
      <c r="B47" s="7" t="s">
        <v>24</v>
      </c>
      <c r="C47" s="7" t="s">
        <v>88</v>
      </c>
      <c r="D47" s="27" t="s">
        <v>92</v>
      </c>
      <c r="E47" s="7" t="s">
        <v>24</v>
      </c>
      <c r="F47" s="7" t="s">
        <v>88</v>
      </c>
      <c r="G47" s="27" t="s">
        <v>91</v>
      </c>
      <c r="H47" s="7" t="s">
        <v>24</v>
      </c>
      <c r="I47" s="7" t="s">
        <v>88</v>
      </c>
      <c r="J47" s="17"/>
      <c r="K47" s="7"/>
      <c r="L47" s="7"/>
      <c r="N47" s="19" t="s">
        <v>82</v>
      </c>
      <c r="O47" s="7" t="s">
        <v>24</v>
      </c>
      <c r="P47" s="7" t="s">
        <v>88</v>
      </c>
      <c r="Q47" s="7"/>
      <c r="R47" s="27" t="s">
        <v>89</v>
      </c>
      <c r="S47" s="7" t="s">
        <v>24</v>
      </c>
      <c r="T47" s="7" t="s">
        <v>88</v>
      </c>
      <c r="U47" s="27" t="s">
        <v>90</v>
      </c>
      <c r="V47" s="7" t="s">
        <v>24</v>
      </c>
      <c r="W47" s="7" t="s">
        <v>88</v>
      </c>
      <c r="X47" s="17"/>
    </row>
    <row r="48" spans="1:24" x14ac:dyDescent="0.25">
      <c r="A48" s="16" t="s">
        <v>17</v>
      </c>
      <c r="B48" s="7">
        <f t="shared" ref="B48:B54" si="12">J25</f>
        <v>0.13427376953336495</v>
      </c>
      <c r="C48" s="7">
        <f t="shared" ref="C48:C54" si="13">I25</f>
        <v>3.238941887891914E-3</v>
      </c>
      <c r="D48" s="7" t="s">
        <v>16</v>
      </c>
      <c r="E48" s="7">
        <f>$B$49</f>
        <v>15.020644175040347</v>
      </c>
      <c r="F48" s="7">
        <f>E48/E$50</f>
        <v>0.36419942878704575</v>
      </c>
      <c r="G48" s="7" t="s">
        <v>17</v>
      </c>
      <c r="H48" s="7">
        <f>B48</f>
        <v>0.13427376953336495</v>
      </c>
      <c r="I48" s="7">
        <f>H48/H$53</f>
        <v>0.62994872125347323</v>
      </c>
      <c r="J48" s="17"/>
      <c r="K48" s="7"/>
      <c r="L48" s="7"/>
      <c r="N48" s="16" t="s">
        <v>17</v>
      </c>
      <c r="O48" s="7">
        <f t="shared" ref="O48:O54" si="14">V25</f>
        <v>33.115682916114025</v>
      </c>
      <c r="P48" s="7">
        <f t="shared" ref="P48:P54" si="15">U25</f>
        <v>7.5549529283103059E-2</v>
      </c>
      <c r="Q48" s="7"/>
      <c r="R48" s="7" t="s">
        <v>16</v>
      </c>
      <c r="S48" s="7">
        <f t="shared" ref="S48:S53" si="16">O49</f>
        <v>1.2933578084536117</v>
      </c>
      <c r="T48" s="7">
        <f t="shared" ref="T48:T53" si="17">S48/S$54</f>
        <v>3.1917810370398203E-3</v>
      </c>
      <c r="U48" s="7" t="s">
        <v>17</v>
      </c>
      <c r="V48" s="7">
        <f>O48</f>
        <v>33.115682916114025</v>
      </c>
      <c r="W48" s="7">
        <f>V48/V48</f>
        <v>1</v>
      </c>
      <c r="X48" s="17"/>
    </row>
    <row r="49" spans="1:24" x14ac:dyDescent="0.25">
      <c r="A49" s="16" t="s">
        <v>16</v>
      </c>
      <c r="B49" s="7">
        <f t="shared" si="12"/>
        <v>15.020644175040347</v>
      </c>
      <c r="C49" s="7">
        <f t="shared" si="13"/>
        <v>0.36232686228093752</v>
      </c>
      <c r="D49" s="7" t="s">
        <v>18</v>
      </c>
      <c r="E49" s="7">
        <f>B52</f>
        <v>26.222265582029042</v>
      </c>
      <c r="F49" s="7">
        <f>E49/E$50</f>
        <v>0.63580057121295419</v>
      </c>
      <c r="G49" s="7" t="s">
        <v>12</v>
      </c>
      <c r="H49" s="7">
        <f>B50</f>
        <v>2.9169474411724607E-2</v>
      </c>
      <c r="I49" s="7">
        <f>H49/H$53</f>
        <v>0.13684931293104013</v>
      </c>
      <c r="J49" s="17"/>
      <c r="K49" s="7"/>
      <c r="L49" s="7"/>
      <c r="N49" s="16" t="s">
        <v>16</v>
      </c>
      <c r="O49" s="7">
        <f t="shared" si="14"/>
        <v>1.2933578084536117</v>
      </c>
      <c r="P49" s="7">
        <f t="shared" si="15"/>
        <v>2.9506434721824622E-3</v>
      </c>
      <c r="Q49" s="7"/>
      <c r="R49" s="7" t="s">
        <v>12</v>
      </c>
      <c r="S49" s="7">
        <f t="shared" si="16"/>
        <v>39.970638291932794</v>
      </c>
      <c r="T49" s="7">
        <f t="shared" si="17"/>
        <v>9.8640549819005913E-2</v>
      </c>
      <c r="U49" s="7"/>
      <c r="V49" s="7"/>
      <c r="W49" s="7"/>
      <c r="X49" s="17"/>
    </row>
    <row r="50" spans="1:24" x14ac:dyDescent="0.25">
      <c r="A50" s="16" t="s">
        <v>12</v>
      </c>
      <c r="B50" s="7">
        <f t="shared" si="12"/>
        <v>2.9169474411724607E-2</v>
      </c>
      <c r="C50" s="7">
        <f t="shared" si="13"/>
        <v>7.0362389354422495E-4</v>
      </c>
      <c r="D50" s="7"/>
      <c r="E50" s="7">
        <f>SUM(E48:E49)</f>
        <v>41.242909757069391</v>
      </c>
      <c r="F50" s="7">
        <f>SUM(F48:F49)</f>
        <v>1</v>
      </c>
      <c r="G50" s="7" t="s">
        <v>31</v>
      </c>
      <c r="H50" s="7">
        <f>B51</f>
        <v>7.2225927205586884E-18</v>
      </c>
      <c r="I50" s="7">
        <f>H50/H$53</f>
        <v>3.3884972949389196E-17</v>
      </c>
      <c r="J50" s="17"/>
      <c r="K50" s="7"/>
      <c r="L50" s="7"/>
      <c r="N50" s="16" t="s">
        <v>12</v>
      </c>
      <c r="O50" s="7">
        <f t="shared" si="14"/>
        <v>39.970638291932794</v>
      </c>
      <c r="P50" s="7">
        <f t="shared" si="15"/>
        <v>9.1188302404939567E-2</v>
      </c>
      <c r="Q50" s="7"/>
      <c r="R50" s="7" t="s">
        <v>31</v>
      </c>
      <c r="S50" s="7">
        <f t="shared" si="16"/>
        <v>14.285714285714285</v>
      </c>
      <c r="T50" s="7">
        <f t="shared" si="17"/>
        <v>3.5254646208251597E-2</v>
      </c>
      <c r="U50" s="7"/>
      <c r="V50" s="7"/>
      <c r="W50" s="7"/>
      <c r="X50" s="17"/>
    </row>
    <row r="51" spans="1:24" x14ac:dyDescent="0.25">
      <c r="A51" s="16" t="s">
        <v>31</v>
      </c>
      <c r="B51" s="7">
        <f t="shared" si="12"/>
        <v>7.2225927205586884E-18</v>
      </c>
      <c r="C51" s="7">
        <f t="shared" si="13"/>
        <v>1.7422284473802471E-19</v>
      </c>
      <c r="D51" s="7"/>
      <c r="E51" s="7"/>
      <c r="F51" s="7"/>
      <c r="G51" s="7" t="s">
        <v>13</v>
      </c>
      <c r="H51" s="7">
        <f>B53</f>
        <v>4.9707072903219518E-2</v>
      </c>
      <c r="I51" s="7">
        <f>H51/H$53</f>
        <v>0.23320196581548663</v>
      </c>
      <c r="J51" s="17"/>
      <c r="K51" s="7"/>
      <c r="L51" s="7"/>
      <c r="N51" s="16" t="s">
        <v>31</v>
      </c>
      <c r="O51" s="7">
        <f t="shared" si="14"/>
        <v>14.285714285714285</v>
      </c>
      <c r="P51" s="7">
        <f t="shared" si="15"/>
        <v>3.259117417244746E-2</v>
      </c>
      <c r="Q51" s="7"/>
      <c r="R51" s="7" t="s">
        <v>18</v>
      </c>
      <c r="S51" s="7">
        <f t="shared" si="16"/>
        <v>307.33316663941002</v>
      </c>
      <c r="T51" s="7">
        <f t="shared" si="17"/>
        <v>0.75844454405538231</v>
      </c>
      <c r="U51" s="7"/>
      <c r="V51" s="7"/>
      <c r="W51" s="7"/>
      <c r="X51" s="17"/>
    </row>
    <row r="52" spans="1:24" x14ac:dyDescent="0.25">
      <c r="A52" s="16" t="s">
        <v>18</v>
      </c>
      <c r="B52" s="7">
        <f t="shared" si="12"/>
        <v>26.222265582029042</v>
      </c>
      <c r="C52" s="7">
        <f t="shared" si="13"/>
        <v>0.63253154122522737</v>
      </c>
      <c r="D52" s="7"/>
      <c r="E52" s="7"/>
      <c r="F52" s="7"/>
      <c r="G52" s="7" t="s">
        <v>30</v>
      </c>
      <c r="H52" s="7">
        <f>B54</f>
        <v>1.319460792895123E-22</v>
      </c>
      <c r="I52" s="7">
        <f>H52/H$53</f>
        <v>6.1902830472174846E-22</v>
      </c>
      <c r="J52" s="17"/>
      <c r="K52" s="7"/>
      <c r="L52" s="7"/>
      <c r="N52" s="16" t="s">
        <v>18</v>
      </c>
      <c r="O52" s="7">
        <f t="shared" si="14"/>
        <v>307.33316663941002</v>
      </c>
      <c r="P52" s="7">
        <f t="shared" si="15"/>
        <v>0.70114441340403821</v>
      </c>
      <c r="Q52" s="7"/>
      <c r="R52" s="7" t="s">
        <v>13</v>
      </c>
      <c r="S52" s="7">
        <f t="shared" si="16"/>
        <v>22.022871067207564</v>
      </c>
      <c r="T52" s="7">
        <f t="shared" si="17"/>
        <v>5.4348596957504006E-2</v>
      </c>
      <c r="U52" s="7"/>
      <c r="V52" s="7"/>
      <c r="W52" s="7"/>
      <c r="X52" s="17"/>
    </row>
    <row r="53" spans="1:24" x14ac:dyDescent="0.25">
      <c r="A53" s="16" t="s">
        <v>13</v>
      </c>
      <c r="B53" s="7">
        <f t="shared" si="12"/>
        <v>4.9707072903219518E-2</v>
      </c>
      <c r="C53" s="7">
        <f t="shared" si="13"/>
        <v>1.199030317762318E-3</v>
      </c>
      <c r="D53" s="7"/>
      <c r="E53" s="7"/>
      <c r="F53" s="7"/>
      <c r="G53" s="7"/>
      <c r="H53" s="7">
        <f>SUM(H48:H52)</f>
        <v>0.21315031684830907</v>
      </c>
      <c r="I53" s="7">
        <f>SUM(I48:I52)</f>
        <v>1</v>
      </c>
      <c r="J53" s="17"/>
      <c r="K53" s="7"/>
      <c r="L53" s="7"/>
      <c r="N53" s="16" t="s">
        <v>13</v>
      </c>
      <c r="O53" s="7">
        <f t="shared" si="14"/>
        <v>22.022871067207564</v>
      </c>
      <c r="P53" s="7">
        <f t="shared" si="15"/>
        <v>5.0242585871010097E-2</v>
      </c>
      <c r="Q53" s="7"/>
      <c r="R53" s="7" t="s">
        <v>30</v>
      </c>
      <c r="S53" s="7">
        <f t="shared" si="16"/>
        <v>20.309331965881572</v>
      </c>
      <c r="T53" s="7">
        <f t="shared" si="17"/>
        <v>5.011988192281628E-2</v>
      </c>
      <c r="U53" s="7"/>
      <c r="V53" s="7"/>
      <c r="W53" s="7"/>
      <c r="X53" s="17"/>
    </row>
    <row r="54" spans="1:24" x14ac:dyDescent="0.25">
      <c r="A54" s="16" t="s">
        <v>30</v>
      </c>
      <c r="B54" s="7">
        <f t="shared" si="12"/>
        <v>1.319460792895123E-22</v>
      </c>
      <c r="C54" s="7">
        <f t="shared" si="13"/>
        <v>3.1827935168507756E-24</v>
      </c>
      <c r="D54" s="7"/>
      <c r="E54" s="7"/>
      <c r="F54" s="7"/>
      <c r="G54" s="7"/>
      <c r="H54" s="7"/>
      <c r="I54" s="7"/>
      <c r="J54" s="17"/>
      <c r="K54" s="7"/>
      <c r="L54" s="7"/>
      <c r="N54" s="16" t="s">
        <v>30</v>
      </c>
      <c r="O54" s="7">
        <f t="shared" si="14"/>
        <v>20.309331965881572</v>
      </c>
      <c r="P54" s="7">
        <f t="shared" si="15"/>
        <v>4.6333348279827075E-2</v>
      </c>
      <c r="Q54" s="7"/>
      <c r="R54" s="7"/>
      <c r="S54" s="7">
        <f>SUM(S48:S53)</f>
        <v>405.21508005859988</v>
      </c>
      <c r="T54" s="7">
        <f>SUM(T48:T53)</f>
        <v>1</v>
      </c>
      <c r="U54" s="7"/>
      <c r="V54" s="7"/>
      <c r="W54" s="7"/>
      <c r="X54" s="17"/>
    </row>
    <row r="55" spans="1:24" x14ac:dyDescent="0.25">
      <c r="A55" s="16"/>
      <c r="B55" s="7">
        <f>SUM(B48:B54)</f>
        <v>41.456060073917698</v>
      </c>
      <c r="C55" s="32">
        <f>SUM(C48:C54)</f>
        <v>0.99999999960536334</v>
      </c>
      <c r="D55" s="7"/>
      <c r="E55" s="7"/>
      <c r="F55" s="7"/>
      <c r="G55" s="7"/>
      <c r="H55" s="7"/>
      <c r="I55" s="7"/>
      <c r="J55" s="17"/>
      <c r="K55" s="7"/>
      <c r="L55" s="7"/>
      <c r="N55" s="16"/>
      <c r="O55" s="7">
        <f>SUM(O48:O54)</f>
        <v>438.33076297471393</v>
      </c>
      <c r="P55" s="7">
        <f>SUM(P48:P54)</f>
        <v>0.99999999688754782</v>
      </c>
      <c r="Q55" s="7"/>
      <c r="R55" s="7"/>
      <c r="S55" s="7"/>
      <c r="T55" s="7"/>
      <c r="U55" s="7"/>
      <c r="V55" s="7"/>
      <c r="W55" s="7"/>
      <c r="X55" s="17"/>
    </row>
    <row r="56" spans="1:24" x14ac:dyDescent="0.25">
      <c r="A56" s="16"/>
      <c r="B56" s="7"/>
      <c r="C56" s="7"/>
      <c r="D56" s="7"/>
      <c r="E56" s="7"/>
      <c r="F56" s="7"/>
      <c r="G56" s="7"/>
      <c r="H56" s="7"/>
      <c r="I56" s="7"/>
      <c r="J56" s="17"/>
      <c r="K56" s="7"/>
      <c r="L56" s="7"/>
      <c r="N56" s="16"/>
      <c r="O56" s="7"/>
      <c r="P56" s="7"/>
      <c r="Q56" s="7"/>
      <c r="R56" s="7"/>
      <c r="S56" s="7"/>
      <c r="T56" s="7"/>
      <c r="U56" s="7"/>
      <c r="V56" s="7"/>
      <c r="W56" s="7"/>
      <c r="X56" s="17"/>
    </row>
    <row r="57" spans="1:24" ht="15.75" thickBot="1" x14ac:dyDescent="0.3">
      <c r="A57" s="20" t="s">
        <v>65</v>
      </c>
      <c r="B57" s="21">
        <f>SUM(B48:B54)</f>
        <v>41.456060073917698</v>
      </c>
      <c r="C57" s="21"/>
      <c r="D57" s="21"/>
      <c r="E57" s="21" t="s">
        <v>66</v>
      </c>
      <c r="F57" s="21">
        <f>E50+H53</f>
        <v>41.456060073917698</v>
      </c>
      <c r="G57" s="21"/>
      <c r="H57" s="21"/>
      <c r="I57" s="21"/>
      <c r="J57" s="22"/>
      <c r="K57" s="7"/>
      <c r="L57" s="7"/>
      <c r="N57" s="20" t="s">
        <v>65</v>
      </c>
      <c r="O57" s="21">
        <f>SUM(O48:O54)</f>
        <v>438.33076297471393</v>
      </c>
      <c r="P57" s="21"/>
      <c r="Q57" s="21"/>
      <c r="R57" s="21" t="s">
        <v>66</v>
      </c>
      <c r="S57" s="34">
        <f>V48+S54</f>
        <v>438.33076297471393</v>
      </c>
      <c r="T57" s="21"/>
      <c r="U57" s="21"/>
      <c r="V57" s="21"/>
      <c r="W57" s="21"/>
      <c r="X57" s="22"/>
    </row>
    <row r="58" spans="1:24" ht="15.75" thickTop="1" x14ac:dyDescent="0.25"/>
    <row r="59" spans="1:24" ht="15.75" thickBot="1" x14ac:dyDescent="0.3"/>
    <row r="60" spans="1:24" ht="27" thickTop="1" x14ac:dyDescent="0.4">
      <c r="A60" s="33" t="s">
        <v>93</v>
      </c>
      <c r="B60" s="14"/>
      <c r="C60" s="14"/>
      <c r="D60" s="14"/>
      <c r="E60" s="14"/>
      <c r="F60" s="14"/>
      <c r="G60" s="14"/>
      <c r="H60" s="14"/>
      <c r="I60" s="14"/>
      <c r="J60" s="15"/>
      <c r="N60" s="33" t="s">
        <v>100</v>
      </c>
      <c r="O60" s="14"/>
      <c r="P60" s="14"/>
      <c r="Q60" s="14"/>
      <c r="R60" s="14"/>
      <c r="S60" s="14"/>
      <c r="T60" s="14"/>
      <c r="U60" s="14"/>
      <c r="V60" s="14"/>
      <c r="W60" s="14"/>
      <c r="X60" s="15"/>
    </row>
    <row r="61" spans="1:24" ht="22.5" x14ac:dyDescent="0.45">
      <c r="A61" s="31" t="s">
        <v>57</v>
      </c>
      <c r="B61" s="7"/>
      <c r="C61" s="7"/>
      <c r="D61" s="7"/>
      <c r="E61" s="7"/>
      <c r="F61" s="7"/>
      <c r="G61" s="26" t="s">
        <v>58</v>
      </c>
      <c r="H61" s="7"/>
      <c r="I61" s="7"/>
      <c r="J61" s="17"/>
      <c r="N61" s="31" t="s">
        <v>57</v>
      </c>
      <c r="O61" s="7"/>
      <c r="P61" s="7"/>
      <c r="Q61" s="7"/>
      <c r="R61" s="26" t="s">
        <v>58</v>
      </c>
      <c r="S61" s="7"/>
      <c r="T61" s="7"/>
      <c r="U61" s="7"/>
      <c r="V61" s="7"/>
      <c r="W61" s="7"/>
      <c r="X61" s="17"/>
    </row>
    <row r="62" spans="1:24" x14ac:dyDescent="0.25">
      <c r="A62" s="19" t="s">
        <v>81</v>
      </c>
      <c r="B62" s="7" t="s">
        <v>24</v>
      </c>
      <c r="C62" s="7" t="s">
        <v>88</v>
      </c>
      <c r="D62" s="9" t="s">
        <v>92</v>
      </c>
      <c r="E62" s="7" t="s">
        <v>24</v>
      </c>
      <c r="F62" s="7" t="s">
        <v>88</v>
      </c>
      <c r="G62" s="27" t="s">
        <v>94</v>
      </c>
      <c r="H62" s="7" t="s">
        <v>24</v>
      </c>
      <c r="I62" s="7" t="s">
        <v>88</v>
      </c>
      <c r="J62" s="17"/>
      <c r="N62" s="19" t="s">
        <v>89</v>
      </c>
      <c r="O62" s="7" t="s">
        <v>24</v>
      </c>
      <c r="P62" s="7" t="s">
        <v>88</v>
      </c>
      <c r="Q62" s="7"/>
      <c r="R62" s="27" t="s">
        <v>101</v>
      </c>
      <c r="S62" s="7" t="s">
        <v>24</v>
      </c>
      <c r="T62" s="7" t="s">
        <v>88</v>
      </c>
      <c r="U62" s="27" t="s">
        <v>102</v>
      </c>
      <c r="V62" s="7" t="s">
        <v>24</v>
      </c>
      <c r="W62" s="7" t="s">
        <v>88</v>
      </c>
      <c r="X62" s="17"/>
    </row>
    <row r="63" spans="1:24" x14ac:dyDescent="0.25">
      <c r="A63" s="16" t="s">
        <v>17</v>
      </c>
      <c r="B63" s="7">
        <f t="shared" ref="B63:B69" si="18">T25</f>
        <v>8.3376647685936792E-2</v>
      </c>
      <c r="C63" s="7">
        <f t="shared" ref="C63:C69" si="19">S25</f>
        <v>1.3183565496074572E-2</v>
      </c>
      <c r="D63" s="7" t="s">
        <v>16</v>
      </c>
      <c r="E63" s="7">
        <f>E48</f>
        <v>15.020644175040347</v>
      </c>
      <c r="F63" s="7">
        <f>F48</f>
        <v>0.36419942878704575</v>
      </c>
      <c r="G63" s="7" t="s">
        <v>17</v>
      </c>
      <c r="H63" s="7">
        <f>B63</f>
        <v>8.3376647685936792E-2</v>
      </c>
      <c r="I63" s="7">
        <f t="shared" ref="I63:I69" si="20">H63/H$72</f>
        <v>1.7528181500670818E-3</v>
      </c>
      <c r="J63" s="17"/>
      <c r="N63" s="16" t="s">
        <v>16</v>
      </c>
      <c r="O63" s="7">
        <f t="shared" ref="O63:P68" si="21">S48</f>
        <v>1.2933578084536117</v>
      </c>
      <c r="P63" s="7">
        <f t="shared" si="21"/>
        <v>3.1917810370398203E-3</v>
      </c>
      <c r="Q63" s="7"/>
      <c r="R63" s="7" t="s">
        <v>12</v>
      </c>
      <c r="S63" s="7">
        <f t="shared" ref="S63:S64" si="22">O64</f>
        <v>39.970638291932794</v>
      </c>
      <c r="T63" s="7">
        <f>S63/S$65</f>
        <v>0.73669969308626515</v>
      </c>
      <c r="U63" s="7" t="s">
        <v>16</v>
      </c>
      <c r="V63" s="7">
        <f>$O$63</f>
        <v>1.2933578084536117</v>
      </c>
      <c r="W63" s="7">
        <f>V63/V$67</f>
        <v>3.6852134088154417E-3</v>
      </c>
      <c r="X63" s="17"/>
    </row>
    <row r="64" spans="1:24" x14ac:dyDescent="0.25">
      <c r="A64" s="16" t="s">
        <v>16</v>
      </c>
      <c r="B64" s="7">
        <f t="shared" si="18"/>
        <v>4.4002837307917497</v>
      </c>
      <c r="C64" s="7">
        <f t="shared" si="19"/>
        <v>0.69577550041016145</v>
      </c>
      <c r="D64" s="7" t="s">
        <v>18</v>
      </c>
      <c r="E64" s="7">
        <f>E49</f>
        <v>26.222265582029042</v>
      </c>
      <c r="F64" s="7">
        <f>F49</f>
        <v>0.63580057121295419</v>
      </c>
      <c r="G64" s="7" t="s">
        <v>16</v>
      </c>
      <c r="H64" s="7">
        <f>B64+E63</f>
        <v>19.420927905832098</v>
      </c>
      <c r="I64" s="7">
        <f t="shared" si="20"/>
        <v>0.40828404438511101</v>
      </c>
      <c r="J64" s="17"/>
      <c r="N64" s="16" t="s">
        <v>12</v>
      </c>
      <c r="O64" s="7">
        <f t="shared" si="21"/>
        <v>39.970638291932794</v>
      </c>
      <c r="P64" s="7">
        <f t="shared" si="21"/>
        <v>9.8640549819005913E-2</v>
      </c>
      <c r="Q64" s="7"/>
      <c r="R64" s="7" t="s">
        <v>31</v>
      </c>
      <c r="S64" s="7">
        <f t="shared" si="22"/>
        <v>14.285714285714285</v>
      </c>
      <c r="T64" s="7">
        <f>S64/S$65</f>
        <v>0.26330030691373485</v>
      </c>
      <c r="U64" s="7" t="s">
        <v>18</v>
      </c>
      <c r="V64" s="7">
        <f t="shared" ref="V64:V66" si="23">O66</f>
        <v>307.33316663941002</v>
      </c>
      <c r="W64" s="7">
        <f t="shared" ref="W64:W66" si="24">V64/V$67</f>
        <v>0.87569603652637351</v>
      </c>
      <c r="X64" s="17"/>
    </row>
    <row r="65" spans="1:24" x14ac:dyDescent="0.25">
      <c r="A65" s="16" t="s">
        <v>12</v>
      </c>
      <c r="B65" s="7">
        <f t="shared" si="18"/>
        <v>1.922336554795971E-4</v>
      </c>
      <c r="C65" s="7">
        <f t="shared" si="19"/>
        <v>3.0396100801646522E-5</v>
      </c>
      <c r="D65" s="7"/>
      <c r="E65" s="7">
        <f>SUM(E63:E64)</f>
        <v>41.242909757069391</v>
      </c>
      <c r="F65" s="7">
        <f>SUM(F63:F64)</f>
        <v>1</v>
      </c>
      <c r="G65" s="7" t="s">
        <v>12</v>
      </c>
      <c r="H65" s="7">
        <f>B65</f>
        <v>1.922336554795971E-4</v>
      </c>
      <c r="I65" s="7">
        <f t="shared" si="20"/>
        <v>4.041307125318902E-6</v>
      </c>
      <c r="J65" s="17"/>
      <c r="N65" s="16" t="s">
        <v>31</v>
      </c>
      <c r="O65" s="7">
        <f t="shared" si="21"/>
        <v>14.285714285714285</v>
      </c>
      <c r="P65" s="7">
        <f t="shared" si="21"/>
        <v>3.5254646208251597E-2</v>
      </c>
      <c r="Q65" s="7"/>
      <c r="R65" s="7"/>
      <c r="S65" s="7">
        <f>SUM(S63:S64)</f>
        <v>54.256352577647078</v>
      </c>
      <c r="T65" s="7">
        <f>SUM(T63:T64)</f>
        <v>1</v>
      </c>
      <c r="U65" s="7" t="s">
        <v>13</v>
      </c>
      <c r="V65" s="7">
        <f t="shared" si="23"/>
        <v>22.022871067207564</v>
      </c>
      <c r="W65" s="7">
        <f t="shared" si="24"/>
        <v>6.2750600976015869E-2</v>
      </c>
      <c r="X65" s="17"/>
    </row>
    <row r="66" spans="1:24" x14ac:dyDescent="0.25">
      <c r="A66" s="16" t="s">
        <v>31</v>
      </c>
      <c r="B66" s="7">
        <f t="shared" si="18"/>
        <v>1.7671140435958123E-22</v>
      </c>
      <c r="C66" s="7">
        <f t="shared" si="19"/>
        <v>2.794171315274417E-23</v>
      </c>
      <c r="D66" s="7"/>
      <c r="E66" s="7"/>
      <c r="F66" s="7"/>
      <c r="G66" s="7" t="s">
        <v>31</v>
      </c>
      <c r="H66" s="7">
        <f>B66</f>
        <v>1.7671140435958123E-22</v>
      </c>
      <c r="I66" s="7">
        <f t="shared" si="20"/>
        <v>3.7149845368220751E-24</v>
      </c>
      <c r="J66" s="17"/>
      <c r="N66" s="16" t="s">
        <v>18</v>
      </c>
      <c r="O66" s="7">
        <f t="shared" si="21"/>
        <v>307.33316663941002</v>
      </c>
      <c r="P66" s="7">
        <f t="shared" si="21"/>
        <v>0.75844454405538231</v>
      </c>
      <c r="Q66" s="7"/>
      <c r="R66" s="7"/>
      <c r="S66" s="7"/>
      <c r="T66" s="7"/>
      <c r="U66" s="7" t="s">
        <v>30</v>
      </c>
      <c r="V66" s="7">
        <f t="shared" si="23"/>
        <v>20.309331965881572</v>
      </c>
      <c r="W66" s="7">
        <f t="shared" si="24"/>
        <v>5.7868149088795062E-2</v>
      </c>
      <c r="X66" s="17"/>
    </row>
    <row r="67" spans="1:24" x14ac:dyDescent="0.25">
      <c r="A67" s="16" t="s">
        <v>18</v>
      </c>
      <c r="B67" s="7">
        <f t="shared" si="18"/>
        <v>1.8130122230054597</v>
      </c>
      <c r="C67" s="7">
        <f t="shared" si="19"/>
        <v>0.2866745791604644</v>
      </c>
      <c r="D67" s="7"/>
      <c r="E67" s="7"/>
      <c r="F67" s="7"/>
      <c r="G67" s="7" t="s">
        <v>18</v>
      </c>
      <c r="H67" s="7">
        <f>B67+E64</f>
        <v>28.0352778050345</v>
      </c>
      <c r="I67" s="7">
        <f t="shared" si="20"/>
        <v>0.58938258064704963</v>
      </c>
      <c r="J67" s="17"/>
      <c r="N67" s="16" t="s">
        <v>13</v>
      </c>
      <c r="O67" s="7">
        <f t="shared" si="21"/>
        <v>22.022871067207564</v>
      </c>
      <c r="P67" s="7">
        <f t="shared" si="21"/>
        <v>5.4348596957504006E-2</v>
      </c>
      <c r="Q67" s="7"/>
      <c r="R67" s="7"/>
      <c r="S67" s="7"/>
      <c r="T67" s="7"/>
      <c r="U67" s="7"/>
      <c r="V67" s="7">
        <f>SUM(V63:V66)</f>
        <v>350.9587274809528</v>
      </c>
      <c r="W67" s="7">
        <f>SUM(W63:W66)</f>
        <v>1</v>
      </c>
      <c r="X67" s="17"/>
    </row>
    <row r="68" spans="1:24" x14ac:dyDescent="0.25">
      <c r="A68" s="16" t="s">
        <v>13</v>
      </c>
      <c r="B68" s="7">
        <f t="shared" si="18"/>
        <v>2.7421859889218858E-2</v>
      </c>
      <c r="C68" s="7">
        <f t="shared" si="19"/>
        <v>4.33596091840323E-3</v>
      </c>
      <c r="D68" s="7"/>
      <c r="E68" s="7"/>
      <c r="F68" s="7"/>
      <c r="G68" s="7" t="s">
        <v>13</v>
      </c>
      <c r="H68" s="7">
        <f>B68</f>
        <v>2.7421859889218858E-2</v>
      </c>
      <c r="I68" s="7">
        <f t="shared" si="20"/>
        <v>5.7648676285801978E-4</v>
      </c>
      <c r="J68" s="17"/>
      <c r="N68" s="16" t="s">
        <v>30</v>
      </c>
      <c r="O68" s="7">
        <f t="shared" si="21"/>
        <v>20.309331965881572</v>
      </c>
      <c r="P68" s="7">
        <f t="shared" si="21"/>
        <v>5.011988192281628E-2</v>
      </c>
      <c r="Q68" s="7"/>
      <c r="R68" s="7"/>
      <c r="S68" s="7"/>
      <c r="T68" s="7"/>
      <c r="U68" s="7"/>
      <c r="V68" s="7"/>
      <c r="W68" s="7"/>
      <c r="X68" s="17"/>
    </row>
    <row r="69" spans="1:24" x14ac:dyDescent="0.25">
      <c r="A69" s="16" t="s">
        <v>30</v>
      </c>
      <c r="B69" s="7">
        <f t="shared" si="18"/>
        <v>1.3674517614378992E-6</v>
      </c>
      <c r="C69" s="7">
        <f t="shared" si="19"/>
        <v>2.1622229197252632E-7</v>
      </c>
      <c r="D69" s="7"/>
      <c r="E69" s="7"/>
      <c r="F69" s="7"/>
      <c r="G69" s="7" t="s">
        <v>30</v>
      </c>
      <c r="H69" s="7">
        <f>B69</f>
        <v>1.3674517614378992E-6</v>
      </c>
      <c r="I69" s="7">
        <f t="shared" si="20"/>
        <v>2.8747788899095267E-8</v>
      </c>
      <c r="J69" s="17"/>
      <c r="N69" s="16"/>
      <c r="O69" s="7">
        <f>SUM(O63:O68)</f>
        <v>405.21508005859988</v>
      </c>
      <c r="P69" s="7">
        <f>SUM(P63:P68)</f>
        <v>1</v>
      </c>
      <c r="Q69" s="7"/>
      <c r="R69" s="7"/>
      <c r="S69" s="7"/>
      <c r="T69" s="7"/>
      <c r="U69" s="7"/>
      <c r="V69" s="7"/>
      <c r="W69" s="7"/>
      <c r="X69" s="17"/>
    </row>
    <row r="70" spans="1:24" x14ac:dyDescent="0.25">
      <c r="A70" s="16"/>
      <c r="B70" s="7">
        <f>SUM(B63:B69)</f>
        <v>6.3242880624796065</v>
      </c>
      <c r="C70" s="7">
        <f>SUM(C63:C69)</f>
        <v>1.0000002183081975</v>
      </c>
      <c r="D70" s="7"/>
      <c r="E70" s="7"/>
      <c r="F70" s="7"/>
      <c r="G70" s="7"/>
      <c r="H70" s="7">
        <f>SUM(H63:H69)</f>
        <v>47.567197819548994</v>
      </c>
      <c r="I70" s="7">
        <f>SUM(I63:I69)</f>
        <v>1</v>
      </c>
      <c r="J70" s="17"/>
      <c r="L70" s="7"/>
      <c r="N70" s="16"/>
      <c r="O70" s="7"/>
      <c r="P70" s="7"/>
      <c r="Q70" s="7"/>
      <c r="R70" s="7"/>
      <c r="S70" s="7"/>
      <c r="T70" s="7"/>
      <c r="U70" s="7"/>
      <c r="V70" s="7"/>
      <c r="W70" s="7"/>
      <c r="X70" s="17"/>
    </row>
    <row r="71" spans="1:24" x14ac:dyDescent="0.25">
      <c r="A71" s="16"/>
      <c r="B71" s="7"/>
      <c r="C71" s="7"/>
      <c r="D71" s="7"/>
      <c r="E71" s="7"/>
      <c r="F71" s="7"/>
      <c r="G71" s="7"/>
      <c r="H71" s="7"/>
      <c r="I71" s="7"/>
      <c r="J71" s="17"/>
      <c r="N71" s="16"/>
      <c r="O71" s="7"/>
      <c r="P71" s="7"/>
      <c r="Q71" s="7"/>
      <c r="S71" s="7"/>
      <c r="T71" s="7"/>
      <c r="U71" s="7"/>
      <c r="V71" s="7"/>
      <c r="W71" s="7"/>
      <c r="X71" s="17"/>
    </row>
    <row r="72" spans="1:24" ht="15.75" thickBot="1" x14ac:dyDescent="0.3">
      <c r="A72" s="20" t="s">
        <v>65</v>
      </c>
      <c r="B72" s="21">
        <f>B70+E65</f>
        <v>47.567197819548994</v>
      </c>
      <c r="C72" s="21"/>
      <c r="D72" s="21"/>
      <c r="E72" s="21"/>
      <c r="F72" s="21"/>
      <c r="G72" s="21" t="s">
        <v>66</v>
      </c>
      <c r="H72" s="21">
        <f>SUM(H63:H69)</f>
        <v>47.567197819548994</v>
      </c>
      <c r="I72" s="21"/>
      <c r="J72" s="22"/>
      <c r="N72" s="20" t="s">
        <v>65</v>
      </c>
      <c r="O72" s="21">
        <f>SUM(O63:O68)</f>
        <v>405.21508005859988</v>
      </c>
      <c r="P72" s="21"/>
      <c r="Q72" s="21"/>
      <c r="R72" s="35" t="str">
        <f>IF(O72=U72, "YES", "NO")</f>
        <v>YES</v>
      </c>
      <c r="S72" s="21"/>
      <c r="T72" s="21" t="s">
        <v>66</v>
      </c>
      <c r="U72" s="21">
        <f>S65+V67</f>
        <v>405.21508005859988</v>
      </c>
      <c r="V72" s="21"/>
      <c r="W72" s="21"/>
      <c r="X72" s="22"/>
    </row>
    <row r="73" spans="1:24" ht="15.75" thickTop="1" x14ac:dyDescent="0.25">
      <c r="D73" t="str">
        <f>IF(B72=H72, "YES", "NO")</f>
        <v>YES</v>
      </c>
    </row>
    <row r="74" spans="1:24" ht="15.75" thickBot="1" x14ac:dyDescent="0.3">
      <c r="O74" s="7"/>
      <c r="P74" s="7"/>
    </row>
    <row r="75" spans="1:24" ht="27" thickTop="1" x14ac:dyDescent="0.4">
      <c r="A75" s="33" t="s">
        <v>97</v>
      </c>
      <c r="B75" s="14"/>
      <c r="C75" s="14"/>
      <c r="D75" s="14"/>
      <c r="E75" s="14"/>
      <c r="F75" s="14"/>
      <c r="G75" s="14"/>
      <c r="H75" s="14"/>
      <c r="I75" s="14"/>
      <c r="J75" s="15"/>
      <c r="N75" s="33" t="s">
        <v>112</v>
      </c>
      <c r="O75" s="14"/>
      <c r="P75" s="14"/>
      <c r="Q75" s="14"/>
      <c r="R75" s="14"/>
      <c r="S75" s="14"/>
      <c r="T75" s="14"/>
      <c r="U75" s="14"/>
      <c r="V75" s="14"/>
      <c r="W75" s="14"/>
      <c r="X75" s="15"/>
    </row>
    <row r="76" spans="1:24" ht="22.5" x14ac:dyDescent="0.45">
      <c r="A76" s="31" t="s">
        <v>57</v>
      </c>
      <c r="B76" s="7"/>
      <c r="C76" s="7"/>
      <c r="D76" s="26" t="s">
        <v>58</v>
      </c>
      <c r="E76" s="7"/>
      <c r="F76" s="7"/>
      <c r="G76" s="7"/>
      <c r="H76" s="7"/>
      <c r="I76" s="7"/>
      <c r="J76" s="17"/>
      <c r="N76" s="31" t="s">
        <v>57</v>
      </c>
      <c r="O76" s="7"/>
      <c r="P76" s="7"/>
      <c r="Q76" s="7"/>
      <c r="R76" s="7"/>
      <c r="S76" s="7"/>
      <c r="T76" s="26" t="s">
        <v>58</v>
      </c>
      <c r="U76" s="7"/>
      <c r="V76" s="7"/>
      <c r="W76" s="7"/>
      <c r="X76" s="17"/>
    </row>
    <row r="77" spans="1:24" x14ac:dyDescent="0.25">
      <c r="A77" s="19" t="s">
        <v>94</v>
      </c>
      <c r="B77" s="7" t="s">
        <v>24</v>
      </c>
      <c r="C77" s="7" t="s">
        <v>88</v>
      </c>
      <c r="D77" s="27" t="s">
        <v>99</v>
      </c>
      <c r="E77" s="7" t="s">
        <v>24</v>
      </c>
      <c r="F77" s="7" t="s">
        <v>88</v>
      </c>
      <c r="G77" s="27" t="s">
        <v>98</v>
      </c>
      <c r="H77" s="7" t="s">
        <v>24</v>
      </c>
      <c r="I77" s="7" t="s">
        <v>88</v>
      </c>
      <c r="J77" s="17"/>
      <c r="N77" s="16" t="s">
        <v>16</v>
      </c>
      <c r="O77" s="7">
        <f>E2</f>
        <v>41.666666666666664</v>
      </c>
      <c r="P77" s="7" t="s">
        <v>24</v>
      </c>
      <c r="Q77" s="7">
        <f>E1</f>
        <v>1000</v>
      </c>
      <c r="R77" s="7" t="s">
        <v>105</v>
      </c>
      <c r="S77" s="7"/>
      <c r="T77" s="7" t="s">
        <v>17</v>
      </c>
      <c r="U77" s="7">
        <f>V48+H48+E78</f>
        <v>33.333333333333329</v>
      </c>
      <c r="V77" s="7" t="s">
        <v>24</v>
      </c>
      <c r="W77" s="7">
        <f>U77*24</f>
        <v>799.99999999999989</v>
      </c>
      <c r="X77" s="17" t="s">
        <v>105</v>
      </c>
    </row>
    <row r="78" spans="1:24" x14ac:dyDescent="0.25">
      <c r="A78" s="16" t="s">
        <v>17</v>
      </c>
      <c r="B78" s="7">
        <f t="shared" ref="B78:C84" si="25">H63</f>
        <v>8.3376647685936792E-2</v>
      </c>
      <c r="C78" s="7">
        <f t="shared" si="25"/>
        <v>1.7528181500670818E-3</v>
      </c>
      <c r="D78" s="7" t="s">
        <v>17</v>
      </c>
      <c r="E78" s="7">
        <f>$B$78</f>
        <v>8.3376647685936792E-2</v>
      </c>
      <c r="F78" s="7">
        <f t="shared" ref="F78:F83" si="26">E78/E$84</f>
        <v>2.9622627773246688E-3</v>
      </c>
      <c r="G78" s="7" t="s">
        <v>16</v>
      </c>
      <c r="H78" s="7">
        <f>B79</f>
        <v>19.420927905832098</v>
      </c>
      <c r="I78" s="7">
        <f>H78/H78</f>
        <v>1</v>
      </c>
      <c r="J78" s="17"/>
      <c r="N78" s="16" t="s">
        <v>17</v>
      </c>
      <c r="O78" s="7">
        <f>E7</f>
        <v>66.666666666666671</v>
      </c>
      <c r="P78" s="7" t="s">
        <v>24</v>
      </c>
      <c r="Q78" s="7">
        <f>O78*24</f>
        <v>1600</v>
      </c>
      <c r="R78" s="7" t="s">
        <v>105</v>
      </c>
      <c r="S78" s="7"/>
      <c r="T78" s="7" t="s">
        <v>16</v>
      </c>
      <c r="U78" s="7">
        <f>H78+V63</f>
        <v>20.714285714285708</v>
      </c>
      <c r="V78" s="7" t="s">
        <v>24</v>
      </c>
      <c r="W78" s="7">
        <f t="shared" ref="W78:W83" si="27">U78*24</f>
        <v>497.142857142857</v>
      </c>
      <c r="X78" s="17" t="s">
        <v>105</v>
      </c>
    </row>
    <row r="79" spans="1:24" x14ac:dyDescent="0.25">
      <c r="A79" s="16" t="s">
        <v>16</v>
      </c>
      <c r="B79" s="7">
        <f t="shared" si="25"/>
        <v>19.420927905832098</v>
      </c>
      <c r="C79" s="7">
        <f t="shared" si="25"/>
        <v>0.40828404438511101</v>
      </c>
      <c r="D79" s="7" t="s">
        <v>12</v>
      </c>
      <c r="E79" s="7">
        <f>B80</f>
        <v>1.922336554795971E-4</v>
      </c>
      <c r="F79" s="7">
        <f t="shared" si="26"/>
        <v>6.829809280906288E-6</v>
      </c>
      <c r="G79" s="7"/>
      <c r="H79" s="7"/>
      <c r="I79" s="7"/>
      <c r="J79" s="17"/>
      <c r="N79" s="16" t="s">
        <v>61</v>
      </c>
      <c r="O79" s="7">
        <f>B7</f>
        <v>335.36844444444444</v>
      </c>
      <c r="P79" s="7" t="s">
        <v>24</v>
      </c>
      <c r="Q79" s="7">
        <f t="shared" ref="Q79:Q81" si="28">O79*24</f>
        <v>8048.8426666666664</v>
      </c>
      <c r="R79" s="7" t="s">
        <v>105</v>
      </c>
      <c r="S79" s="7"/>
      <c r="T79" s="7" t="s">
        <v>12</v>
      </c>
      <c r="U79" s="7">
        <f>S63+E79+H49</f>
        <v>40</v>
      </c>
      <c r="V79" s="7" t="s">
        <v>24</v>
      </c>
      <c r="W79" s="7">
        <f t="shared" si="27"/>
        <v>960</v>
      </c>
      <c r="X79" s="17" t="s">
        <v>105</v>
      </c>
    </row>
    <row r="80" spans="1:24" x14ac:dyDescent="0.25">
      <c r="A80" s="16" t="s">
        <v>12</v>
      </c>
      <c r="B80" s="7">
        <f t="shared" si="25"/>
        <v>1.922336554795971E-4</v>
      </c>
      <c r="C80" s="7">
        <f t="shared" si="25"/>
        <v>4.041307125318902E-6</v>
      </c>
      <c r="D80" s="7" t="s">
        <v>31</v>
      </c>
      <c r="E80" s="7">
        <f>B81</f>
        <v>1.7671140435958123E-22</v>
      </c>
      <c r="F80" s="7">
        <f t="shared" si="26"/>
        <v>6.2783240870386907E-24</v>
      </c>
      <c r="G80" s="7"/>
      <c r="H80" s="7"/>
      <c r="I80" s="7"/>
      <c r="J80" s="17"/>
      <c r="N80" s="16" t="s">
        <v>30</v>
      </c>
      <c r="O80" s="7">
        <f>B8</f>
        <v>22.1</v>
      </c>
      <c r="P80" s="7" t="s">
        <v>24</v>
      </c>
      <c r="Q80" s="7">
        <f t="shared" si="28"/>
        <v>530.40000000000009</v>
      </c>
      <c r="R80" s="7" t="s">
        <v>105</v>
      </c>
      <c r="S80" s="7"/>
      <c r="T80" s="7" t="s">
        <v>31</v>
      </c>
      <c r="U80" s="7">
        <f>S64+E80+H50</f>
        <v>14.285714285714285</v>
      </c>
      <c r="V80" s="7" t="s">
        <v>24</v>
      </c>
      <c r="W80" s="7">
        <f t="shared" si="27"/>
        <v>342.85714285714283</v>
      </c>
      <c r="X80" s="17" t="s">
        <v>105</v>
      </c>
    </row>
    <row r="81" spans="1:24" x14ac:dyDescent="0.25">
      <c r="A81" s="16" t="s">
        <v>31</v>
      </c>
      <c r="B81" s="7">
        <f t="shared" si="25"/>
        <v>1.7671140435958123E-22</v>
      </c>
      <c r="C81" s="7">
        <f t="shared" si="25"/>
        <v>3.7149845368220751E-24</v>
      </c>
      <c r="D81" s="7" t="s">
        <v>18</v>
      </c>
      <c r="E81" s="7">
        <f>B82</f>
        <v>28.0352778050345</v>
      </c>
      <c r="F81" s="7">
        <f t="shared" si="26"/>
        <v>0.99605659616628961</v>
      </c>
      <c r="G81" s="7"/>
      <c r="H81" s="7"/>
      <c r="I81" s="7"/>
      <c r="J81" s="17"/>
      <c r="N81" s="16" t="s">
        <v>13</v>
      </c>
      <c r="O81" s="7">
        <f>B9</f>
        <v>20.309333333333331</v>
      </c>
      <c r="P81" s="7" t="s">
        <v>24</v>
      </c>
      <c r="Q81" s="7">
        <f t="shared" si="28"/>
        <v>487.42399999999998</v>
      </c>
      <c r="R81" s="7" t="s">
        <v>105</v>
      </c>
      <c r="S81" s="7"/>
      <c r="T81" s="7" t="s">
        <v>18</v>
      </c>
      <c r="U81" s="7">
        <f>V64+E81</f>
        <v>335.36844444444455</v>
      </c>
      <c r="V81" s="7" t="s">
        <v>24</v>
      </c>
      <c r="W81" s="7">
        <f t="shared" si="27"/>
        <v>8048.8426666666692</v>
      </c>
      <c r="X81" s="17" t="s">
        <v>105</v>
      </c>
    </row>
    <row r="82" spans="1:24" x14ac:dyDescent="0.25">
      <c r="A82" s="16" t="s">
        <v>18</v>
      </c>
      <c r="B82" s="7">
        <f t="shared" si="25"/>
        <v>28.0352778050345</v>
      </c>
      <c r="C82" s="7">
        <f t="shared" si="25"/>
        <v>0.58938258064704963</v>
      </c>
      <c r="D82" s="7" t="s">
        <v>13</v>
      </c>
      <c r="E82" s="7">
        <f>B83</f>
        <v>2.7421859889218858E-2</v>
      </c>
      <c r="F82" s="7">
        <f t="shared" si="26"/>
        <v>9.7426266333980533E-4</v>
      </c>
      <c r="G82" s="7"/>
      <c r="H82" s="7"/>
      <c r="I82" s="7"/>
      <c r="J82" s="17"/>
      <c r="N82" s="16" t="s">
        <v>113</v>
      </c>
      <c r="O82" s="7">
        <f>SUM(O77:O81)</f>
        <v>486.11111111111114</v>
      </c>
      <c r="P82" s="7" t="s">
        <v>24</v>
      </c>
      <c r="Q82" s="7">
        <f>SUM(Q77:Q81)</f>
        <v>11666.666666666668</v>
      </c>
      <c r="R82" s="7" t="s">
        <v>105</v>
      </c>
      <c r="S82" s="7"/>
      <c r="T82" s="7" t="s">
        <v>13</v>
      </c>
      <c r="U82" s="7">
        <f>V65+E82+H51</f>
        <v>22.100000000000005</v>
      </c>
      <c r="V82" s="7" t="s">
        <v>24</v>
      </c>
      <c r="W82" s="7">
        <f t="shared" si="27"/>
        <v>530.40000000000009</v>
      </c>
      <c r="X82" s="17" t="s">
        <v>105</v>
      </c>
    </row>
    <row r="83" spans="1:24" x14ac:dyDescent="0.25">
      <c r="A83" s="16" t="s">
        <v>13</v>
      </c>
      <c r="B83" s="7">
        <f t="shared" si="25"/>
        <v>2.7421859889218858E-2</v>
      </c>
      <c r="C83" s="7">
        <f t="shared" si="25"/>
        <v>5.7648676285801978E-4</v>
      </c>
      <c r="D83" s="7" t="s">
        <v>30</v>
      </c>
      <c r="E83" s="7">
        <f>B84</f>
        <v>1.3674517614378992E-6</v>
      </c>
      <c r="F83" s="7">
        <f t="shared" si="26"/>
        <v>4.8583764940429299E-8</v>
      </c>
      <c r="G83" s="7"/>
      <c r="H83" s="7"/>
      <c r="I83" s="7"/>
      <c r="J83" s="17"/>
      <c r="N83" s="16"/>
      <c r="O83" s="7"/>
      <c r="P83" s="7"/>
      <c r="Q83" s="7"/>
      <c r="R83" s="7"/>
      <c r="S83" s="7"/>
      <c r="T83" s="7" t="s">
        <v>30</v>
      </c>
      <c r="U83" s="7">
        <f>V66+F83+H52</f>
        <v>20.309332014465337</v>
      </c>
      <c r="V83" s="7" t="s">
        <v>24</v>
      </c>
      <c r="W83" s="7">
        <f t="shared" si="27"/>
        <v>487.42396834716806</v>
      </c>
      <c r="X83" s="17" t="s">
        <v>105</v>
      </c>
    </row>
    <row r="84" spans="1:24" x14ac:dyDescent="0.25">
      <c r="A84" s="16" t="s">
        <v>30</v>
      </c>
      <c r="B84" s="7">
        <f t="shared" si="25"/>
        <v>1.3674517614378992E-6</v>
      </c>
      <c r="C84" s="7">
        <f t="shared" si="25"/>
        <v>2.8747788899095267E-8</v>
      </c>
      <c r="D84" s="7"/>
      <c r="E84" s="7">
        <f>SUM(E78:E83)</f>
        <v>28.1462699137169</v>
      </c>
      <c r="F84" s="7">
        <f>SUM(F78:F83)</f>
        <v>0.99999999999999989</v>
      </c>
      <c r="G84" s="7"/>
      <c r="H84" s="7"/>
      <c r="I84" s="7"/>
      <c r="J84" s="17"/>
      <c r="N84" s="16"/>
      <c r="O84" s="7"/>
      <c r="P84" s="7"/>
      <c r="Q84" s="7"/>
      <c r="R84" s="7"/>
      <c r="S84" s="7"/>
      <c r="T84" s="7" t="s">
        <v>114</v>
      </c>
      <c r="U84" s="7">
        <f>SUM(U77:U83)</f>
        <v>486.11110979224321</v>
      </c>
      <c r="V84" s="7"/>
      <c r="W84" s="7">
        <f>SUM(W77:W83)</f>
        <v>11666.666635013837</v>
      </c>
      <c r="X84" s="17"/>
    </row>
    <row r="85" spans="1:24" x14ac:dyDescent="0.25">
      <c r="A85" s="16"/>
      <c r="B85" s="7">
        <f>H70</f>
        <v>47.567197819548994</v>
      </c>
      <c r="C85" s="7"/>
      <c r="D85" s="7"/>
      <c r="E85" s="7"/>
      <c r="F85" s="7"/>
      <c r="G85" s="7"/>
      <c r="H85" s="7"/>
      <c r="I85" s="7"/>
      <c r="J85" s="17"/>
      <c r="N85" s="16"/>
      <c r="O85" s="7"/>
      <c r="P85" s="7"/>
      <c r="Q85" s="7"/>
      <c r="R85" s="7"/>
      <c r="S85" s="7"/>
      <c r="T85" s="7"/>
      <c r="U85" s="7"/>
      <c r="V85" s="7"/>
      <c r="W85" s="7"/>
      <c r="X85" s="17"/>
    </row>
    <row r="86" spans="1:24" x14ac:dyDescent="0.25">
      <c r="A86" s="16"/>
      <c r="B86" s="7"/>
      <c r="C86" s="7"/>
      <c r="D86" s="7"/>
      <c r="E86" s="7"/>
      <c r="F86" s="7"/>
      <c r="G86" s="7"/>
      <c r="H86" s="7"/>
      <c r="I86" s="7"/>
      <c r="J86" s="17"/>
      <c r="N86" s="16"/>
      <c r="O86" s="7"/>
      <c r="P86" s="7"/>
      <c r="Q86" s="7"/>
      <c r="R86" s="7"/>
      <c r="S86" s="7"/>
      <c r="T86" s="7"/>
      <c r="U86" s="7"/>
      <c r="V86" s="7"/>
      <c r="W86" s="7"/>
      <c r="X86" s="17"/>
    </row>
    <row r="87" spans="1:24" ht="15.75" thickBot="1" x14ac:dyDescent="0.3">
      <c r="A87" s="20" t="s">
        <v>65</v>
      </c>
      <c r="B87" s="21">
        <f>B85+E80</f>
        <v>47.567197819548994</v>
      </c>
      <c r="C87" s="21"/>
      <c r="D87" s="21" t="s">
        <v>66</v>
      </c>
      <c r="E87" s="21">
        <f>H78+E84</f>
        <v>47.567197819548994</v>
      </c>
      <c r="F87" s="21"/>
      <c r="G87" s="21"/>
      <c r="H87" s="21"/>
      <c r="I87" s="21"/>
      <c r="J87" s="22"/>
      <c r="N87" s="20" t="s">
        <v>107</v>
      </c>
      <c r="O87" s="7"/>
      <c r="P87" s="7">
        <f>R6+B10+E7</f>
        <v>486.11111111111114</v>
      </c>
      <c r="Q87" s="7" t="s">
        <v>24</v>
      </c>
      <c r="R87" s="7"/>
      <c r="S87" s="7"/>
      <c r="T87" s="7" t="s">
        <v>108</v>
      </c>
      <c r="U87" s="7"/>
      <c r="V87" s="7">
        <f>H53+E84+V48+S65+V67+H78</f>
        <v>486.11111111111126</v>
      </c>
      <c r="W87" s="7" t="s">
        <v>24</v>
      </c>
      <c r="X87" s="17"/>
    </row>
    <row r="88" spans="1:24" ht="15.75" thickTop="1" x14ac:dyDescent="0.25">
      <c r="N88" s="7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25"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28.5" x14ac:dyDescent="0.45">
      <c r="J90" s="3" t="s">
        <v>106</v>
      </c>
      <c r="S90" s="4"/>
    </row>
    <row r="92" spans="1:24" x14ac:dyDescent="0.25">
      <c r="P92" s="2"/>
    </row>
    <row r="93" spans="1:24" x14ac:dyDescent="0.25">
      <c r="B93" s="1" t="s">
        <v>40</v>
      </c>
      <c r="C93" s="1"/>
      <c r="D93" s="1" t="s">
        <v>38</v>
      </c>
      <c r="G93" s="1" t="s">
        <v>35</v>
      </c>
      <c r="H93" s="1"/>
      <c r="I93" s="1" t="s">
        <v>36</v>
      </c>
      <c r="L93" s="1" t="s">
        <v>33</v>
      </c>
      <c r="M93" s="1"/>
      <c r="N93" s="1" t="s">
        <v>37</v>
      </c>
      <c r="Q93" s="1" t="s">
        <v>39</v>
      </c>
      <c r="R93" s="1"/>
      <c r="S93" s="1" t="s">
        <v>38</v>
      </c>
    </row>
    <row r="94" spans="1:24" x14ac:dyDescent="0.25">
      <c r="B94" s="1" t="s">
        <v>32</v>
      </c>
      <c r="C94" s="1" t="s">
        <v>34</v>
      </c>
      <c r="D94" s="1"/>
      <c r="G94" s="1" t="s">
        <v>32</v>
      </c>
      <c r="H94" s="1" t="s">
        <v>34</v>
      </c>
      <c r="I94" s="1"/>
      <c r="L94" s="1" t="s">
        <v>32</v>
      </c>
      <c r="M94" s="1" t="s">
        <v>34</v>
      </c>
      <c r="N94" s="1"/>
      <c r="Q94" s="1" t="s">
        <v>32</v>
      </c>
      <c r="R94" s="1" t="s">
        <v>34</v>
      </c>
      <c r="S94" s="1"/>
    </row>
    <row r="95" spans="1:24" x14ac:dyDescent="0.25">
      <c r="A95" t="s">
        <v>17</v>
      </c>
      <c r="C95">
        <f t="shared" ref="C95" si="29">I7</f>
        <v>0.15</v>
      </c>
      <c r="F95" t="s">
        <v>17</v>
      </c>
      <c r="G95">
        <v>0.97</v>
      </c>
      <c r="H95">
        <f t="shared" ref="H95:H101" si="30">G25</f>
        <v>6.8571428571428575E-2</v>
      </c>
      <c r="I95">
        <f t="shared" ref="I95:I101" si="31">G95*H95</f>
        <v>6.651428571428572E-2</v>
      </c>
      <c r="K95" t="s">
        <v>17</v>
      </c>
      <c r="L95">
        <v>0.92589999999999995</v>
      </c>
      <c r="M95">
        <f t="shared" ref="M95:M101" si="32">K25</f>
        <v>7.4662504086216927E-2</v>
      </c>
      <c r="N95">
        <f>L95*M95</f>
        <v>6.9130012533428251E-2</v>
      </c>
      <c r="P95" t="s">
        <v>17</v>
      </c>
      <c r="Q95">
        <v>0.93</v>
      </c>
      <c r="R95">
        <f t="shared" ref="R95:R101" si="33">I63</f>
        <v>1.7528181500670818E-3</v>
      </c>
      <c r="S95">
        <f>Q95*R95</f>
        <v>1.6301208795623861E-3</v>
      </c>
    </row>
    <row r="96" spans="1:24" x14ac:dyDescent="0.25">
      <c r="A96" t="s">
        <v>16</v>
      </c>
      <c r="C96">
        <v>0</v>
      </c>
      <c r="F96" t="s">
        <v>16</v>
      </c>
      <c r="G96">
        <v>1.004</v>
      </c>
      <c r="H96">
        <f t="shared" si="30"/>
        <v>4.2612244897959173E-2</v>
      </c>
      <c r="I96">
        <f t="shared" si="31"/>
        <v>4.2782693877551008E-2</v>
      </c>
      <c r="K96" t="s">
        <v>16</v>
      </c>
      <c r="L96">
        <v>0.97099999999999997</v>
      </c>
      <c r="M96">
        <f t="shared" si="32"/>
        <v>1.2804625801897385E-2</v>
      </c>
      <c r="N96">
        <f t="shared" ref="N96:N101" si="34">L96*M96</f>
        <v>1.2433291653642362E-2</v>
      </c>
      <c r="P96" t="s">
        <v>16</v>
      </c>
      <c r="Q96">
        <v>0.97699999999999998</v>
      </c>
      <c r="R96">
        <f t="shared" si="33"/>
        <v>0.40828404438511101</v>
      </c>
      <c r="S96">
        <f>Q96*R96</f>
        <v>0.39889351136425344</v>
      </c>
    </row>
    <row r="97" spans="1:19" x14ac:dyDescent="0.25">
      <c r="A97" t="s">
        <v>12</v>
      </c>
      <c r="C97">
        <v>0</v>
      </c>
      <c r="F97" t="s">
        <v>12</v>
      </c>
      <c r="G97">
        <v>1.08</v>
      </c>
      <c r="H97">
        <f t="shared" si="30"/>
        <v>8.2285714285714281E-2</v>
      </c>
      <c r="I97">
        <f t="shared" si="31"/>
        <v>8.8868571428571436E-2</v>
      </c>
      <c r="K97" t="s">
        <v>12</v>
      </c>
      <c r="L97">
        <v>0.98599999999999999</v>
      </c>
      <c r="M97">
        <f t="shared" si="32"/>
        <v>8.989177213622955E-2</v>
      </c>
      <c r="N97">
        <f>L97*M97</f>
        <v>8.8633287326322335E-2</v>
      </c>
      <c r="P97" t="s">
        <v>12</v>
      </c>
      <c r="Q97">
        <v>0.98899999999999999</v>
      </c>
      <c r="R97">
        <f t="shared" si="33"/>
        <v>4.041307125318902E-6</v>
      </c>
      <c r="S97">
        <f>Q97*R97</f>
        <v>3.9968527469403939E-6</v>
      </c>
    </row>
    <row r="98" spans="1:19" x14ac:dyDescent="0.25">
      <c r="A98" t="s">
        <v>31</v>
      </c>
      <c r="C98">
        <v>0</v>
      </c>
      <c r="F98" t="s">
        <v>31</v>
      </c>
      <c r="G98">
        <v>0.90300000000000002</v>
      </c>
      <c r="H98">
        <f t="shared" si="30"/>
        <v>2.9387755102040815E-2</v>
      </c>
      <c r="I98">
        <f t="shared" si="31"/>
        <v>2.6537142857142856E-2</v>
      </c>
      <c r="K98" t="s">
        <v>31</v>
      </c>
      <c r="L98">
        <v>0.81710000000000005</v>
      </c>
      <c r="M98">
        <f t="shared" si="32"/>
        <v>3.2127632988576932E-2</v>
      </c>
      <c r="N98">
        <f>L98*M98</f>
        <v>2.6251488914966214E-2</v>
      </c>
      <c r="P98" t="s">
        <v>31</v>
      </c>
      <c r="Q98">
        <v>0.82010000000000005</v>
      </c>
      <c r="R98">
        <f t="shared" si="33"/>
        <v>3.7149845368220751E-24</v>
      </c>
      <c r="S98">
        <f>Q98*R98</f>
        <v>3.0466588186477839E-24</v>
      </c>
    </row>
    <row r="99" spans="1:19" x14ac:dyDescent="0.25">
      <c r="A99" t="s">
        <v>18</v>
      </c>
      <c r="C99">
        <f>I8</f>
        <v>0.754579</v>
      </c>
      <c r="F99" t="s">
        <v>18</v>
      </c>
      <c r="G99">
        <v>4.8099999999999996</v>
      </c>
      <c r="H99">
        <f t="shared" si="30"/>
        <v>0.68990079999999998</v>
      </c>
      <c r="I99">
        <f t="shared" si="31"/>
        <v>3.3184228479999995</v>
      </c>
      <c r="K99" t="s">
        <v>18</v>
      </c>
      <c r="L99">
        <v>3.76</v>
      </c>
      <c r="M99">
        <f t="shared" si="32"/>
        <v>0.69524944820188506</v>
      </c>
      <c r="N99">
        <f t="shared" si="34"/>
        <v>2.6141379252390875</v>
      </c>
      <c r="P99" t="s">
        <v>18</v>
      </c>
      <c r="Q99">
        <v>3.86</v>
      </c>
      <c r="R99">
        <f t="shared" si="33"/>
        <v>0.58938258064704963</v>
      </c>
      <c r="S99">
        <f t="shared" ref="S99:S101" si="35">Q99*R99</f>
        <v>2.2750167612976115</v>
      </c>
    </row>
    <row r="100" spans="1:19" x14ac:dyDescent="0.25">
      <c r="A100" t="s">
        <v>13</v>
      </c>
      <c r="C100">
        <f>I9</f>
        <v>4.9724999999999998E-2</v>
      </c>
      <c r="F100" t="s">
        <v>13</v>
      </c>
      <c r="G100">
        <v>1.1200000000000001</v>
      </c>
      <c r="H100">
        <f t="shared" si="30"/>
        <v>4.5462857142857145E-2</v>
      </c>
      <c r="I100">
        <f t="shared" si="31"/>
        <v>5.0918400000000009E-2</v>
      </c>
      <c r="K100" t="s">
        <v>13</v>
      </c>
      <c r="L100">
        <v>0.95699999999999996</v>
      </c>
      <c r="M100">
        <f t="shared" si="32"/>
        <v>4.9589660291666553E-2</v>
      </c>
      <c r="N100">
        <f t="shared" si="34"/>
        <v>4.7457304899124891E-2</v>
      </c>
      <c r="P100" t="s">
        <v>13</v>
      </c>
      <c r="Q100">
        <v>0.96099999999999997</v>
      </c>
      <c r="R100">
        <f t="shared" si="33"/>
        <v>5.7648676285801978E-4</v>
      </c>
      <c r="S100">
        <f t="shared" si="35"/>
        <v>5.5400377910655701E-4</v>
      </c>
    </row>
    <row r="101" spans="1:19" x14ac:dyDescent="0.25">
      <c r="A101" t="s">
        <v>30</v>
      </c>
      <c r="C101">
        <f>I10</f>
        <v>4.5695999999999994E-2</v>
      </c>
      <c r="F101" t="s">
        <v>30</v>
      </c>
      <c r="G101">
        <v>0.89700000000000002</v>
      </c>
      <c r="H101">
        <f t="shared" si="30"/>
        <v>4.1779199999999996E-2</v>
      </c>
      <c r="I101">
        <f t="shared" si="31"/>
        <v>3.7475942399999997E-2</v>
      </c>
      <c r="K101" t="s">
        <v>30</v>
      </c>
      <c r="L101">
        <v>0.879</v>
      </c>
      <c r="M101">
        <f t="shared" si="32"/>
        <v>4.5674356530320356E-2</v>
      </c>
      <c r="N101">
        <f t="shared" si="34"/>
        <v>4.0147759390151597E-2</v>
      </c>
      <c r="P101" t="s">
        <v>30</v>
      </c>
      <c r="Q101">
        <v>0.87909999999999999</v>
      </c>
      <c r="R101">
        <f t="shared" si="33"/>
        <v>2.8747788899095267E-8</v>
      </c>
      <c r="S101">
        <f t="shared" si="35"/>
        <v>2.5272181221194648E-8</v>
      </c>
    </row>
    <row r="102" spans="1:19" x14ac:dyDescent="0.25">
      <c r="D102">
        <v>3.4249999999999998</v>
      </c>
      <c r="I102">
        <f>SUM(I95:I101)</f>
        <v>3.6315198842775507</v>
      </c>
      <c r="N102">
        <f>SUM(N95:N101)</f>
        <v>2.8981910699567233</v>
      </c>
      <c r="S102">
        <f>SUM(S95:S101)</f>
        <v>2.676098419445462</v>
      </c>
    </row>
    <row r="103" spans="1:19" ht="15.75" thickBot="1" x14ac:dyDescent="0.3"/>
    <row r="104" spans="1:19" x14ac:dyDescent="0.25">
      <c r="F104" s="37"/>
      <c r="G104" s="38"/>
      <c r="H104" s="38"/>
      <c r="I104" s="38"/>
      <c r="J104" s="38"/>
      <c r="K104" s="38"/>
      <c r="L104" s="38"/>
      <c r="M104" s="38"/>
      <c r="N104" s="38"/>
      <c r="O104" s="38"/>
      <c r="P104" s="39"/>
      <c r="R104" s="36"/>
    </row>
    <row r="105" spans="1:19" x14ac:dyDescent="0.25">
      <c r="F105" s="40"/>
      <c r="G105" s="41"/>
      <c r="H105" s="42" t="s">
        <v>45</v>
      </c>
      <c r="I105" s="42" t="s">
        <v>46</v>
      </c>
      <c r="J105" s="43" t="s">
        <v>32</v>
      </c>
      <c r="K105" s="43" t="s">
        <v>41</v>
      </c>
      <c r="L105" s="43" t="s">
        <v>49</v>
      </c>
      <c r="M105" s="43" t="s">
        <v>42</v>
      </c>
      <c r="N105" s="43" t="s">
        <v>42</v>
      </c>
      <c r="O105" s="42" t="s">
        <v>48</v>
      </c>
      <c r="P105" s="44" t="s">
        <v>47</v>
      </c>
      <c r="R105" s="36"/>
    </row>
    <row r="106" spans="1:19" x14ac:dyDescent="0.25">
      <c r="F106" s="40"/>
      <c r="G106" s="41"/>
      <c r="H106" s="42"/>
      <c r="I106" s="42"/>
      <c r="J106" s="43" t="s">
        <v>44</v>
      </c>
      <c r="K106" s="43" t="s">
        <v>22</v>
      </c>
      <c r="L106" s="43" t="s">
        <v>50</v>
      </c>
      <c r="M106" s="43" t="s">
        <v>43</v>
      </c>
      <c r="N106" s="43" t="s">
        <v>54</v>
      </c>
      <c r="O106" s="42"/>
      <c r="P106" s="44"/>
      <c r="R106" s="36"/>
    </row>
    <row r="107" spans="1:19" x14ac:dyDescent="0.25">
      <c r="F107" s="45" t="s">
        <v>40</v>
      </c>
      <c r="G107" s="46"/>
      <c r="H107" s="47">
        <v>40</v>
      </c>
      <c r="I107" s="47">
        <v>185</v>
      </c>
      <c r="J107" s="48">
        <f>D102</f>
        <v>3.4249999999999998</v>
      </c>
      <c r="K107" s="48">
        <f>H15</f>
        <v>444.44444444444446</v>
      </c>
      <c r="L107" s="48">
        <f>J107*K107</f>
        <v>1522.2222222222222</v>
      </c>
      <c r="M107" s="48">
        <f>K107*J107*(I107-H107)</f>
        <v>220722.22222222222</v>
      </c>
      <c r="N107" s="43">
        <f>M107/3600</f>
        <v>61.311728395061728</v>
      </c>
      <c r="O107" s="47">
        <f>H107+5</f>
        <v>45</v>
      </c>
      <c r="P107" s="49">
        <f>I107+5</f>
        <v>190</v>
      </c>
      <c r="R107" s="36"/>
    </row>
    <row r="108" spans="1:19" x14ac:dyDescent="0.25">
      <c r="F108" s="45" t="s">
        <v>35</v>
      </c>
      <c r="G108" s="46"/>
      <c r="H108" s="47">
        <v>185</v>
      </c>
      <c r="I108" s="47">
        <v>100</v>
      </c>
      <c r="J108" s="48">
        <f>I102</f>
        <v>3.6315198842775507</v>
      </c>
      <c r="K108" s="48">
        <f>V15</f>
        <v>486.11111111111114</v>
      </c>
      <c r="L108" s="48">
        <f t="shared" ref="L108:L110" si="36">J108*K108</f>
        <v>1765.322165968254</v>
      </c>
      <c r="M108" s="48">
        <f>K108*J108*(I108-H108)</f>
        <v>-150052.38410730159</v>
      </c>
      <c r="N108" s="43">
        <f t="shared" ref="N108:N110" si="37">M108/3600</f>
        <v>-41.681217807583778</v>
      </c>
      <c r="O108" s="47">
        <f t="shared" ref="O108:P110" si="38">H108-5</f>
        <v>180</v>
      </c>
      <c r="P108" s="49">
        <f t="shared" si="38"/>
        <v>95</v>
      </c>
      <c r="R108" s="36"/>
    </row>
    <row r="109" spans="1:19" x14ac:dyDescent="0.25">
      <c r="F109" s="45" t="s">
        <v>33</v>
      </c>
      <c r="G109" s="46"/>
      <c r="H109" s="47">
        <v>100</v>
      </c>
      <c r="I109" s="47">
        <v>50</v>
      </c>
      <c r="J109" s="48">
        <f>N102</f>
        <v>2.8981910699567233</v>
      </c>
      <c r="K109" s="48">
        <f>L32</f>
        <v>444.6550510371934</v>
      </c>
      <c r="L109" s="48">
        <f>J109*K109</f>
        <v>1288.695298127145</v>
      </c>
      <c r="M109" s="48">
        <f>K109*J109*(I109-H109)</f>
        <v>-64434.764906357246</v>
      </c>
      <c r="N109" s="43">
        <f t="shared" si="37"/>
        <v>-17.898545807321458</v>
      </c>
      <c r="O109" s="47">
        <f t="shared" si="38"/>
        <v>95</v>
      </c>
      <c r="P109" s="49">
        <f t="shared" si="38"/>
        <v>45</v>
      </c>
      <c r="R109" s="36"/>
    </row>
    <row r="110" spans="1:19" x14ac:dyDescent="0.25">
      <c r="F110" s="45" t="s">
        <v>39</v>
      </c>
      <c r="G110" s="46"/>
      <c r="H110" s="47">
        <v>105</v>
      </c>
      <c r="I110" s="47">
        <v>50</v>
      </c>
      <c r="J110" s="48">
        <f>S102</f>
        <v>2.676098419445462</v>
      </c>
      <c r="K110" s="48">
        <f>B87</f>
        <v>47.567197819548994</v>
      </c>
      <c r="L110" s="48">
        <f t="shared" si="36"/>
        <v>127.29450290234469</v>
      </c>
      <c r="M110" s="48">
        <f>K110*J110*(I110-H110)</f>
        <v>-7001.1976596289578</v>
      </c>
      <c r="N110" s="43">
        <f t="shared" si="37"/>
        <v>-1.9447771276747106</v>
      </c>
      <c r="O110" s="47">
        <f t="shared" si="38"/>
        <v>100</v>
      </c>
      <c r="P110" s="49">
        <f t="shared" si="38"/>
        <v>45</v>
      </c>
      <c r="R110" s="36"/>
    </row>
    <row r="111" spans="1:19" x14ac:dyDescent="0.25">
      <c r="F111" s="40"/>
      <c r="G111" s="41"/>
      <c r="H111" s="41"/>
      <c r="I111" s="41"/>
      <c r="J111" s="41"/>
      <c r="K111" s="41"/>
      <c r="L111" s="41"/>
      <c r="M111" s="41"/>
      <c r="N111" s="41"/>
      <c r="O111" s="41"/>
      <c r="P111" s="50"/>
      <c r="R111" s="36"/>
    </row>
    <row r="112" spans="1:19" x14ac:dyDescent="0.25">
      <c r="F112" s="40"/>
      <c r="G112" s="41"/>
      <c r="H112" s="41"/>
      <c r="I112" s="41"/>
      <c r="J112" s="41"/>
      <c r="K112" s="51" t="s">
        <v>51</v>
      </c>
      <c r="L112" s="41" t="s">
        <v>52</v>
      </c>
      <c r="M112" s="46" t="s">
        <v>53</v>
      </c>
      <c r="N112" s="41"/>
      <c r="O112" s="41" t="s">
        <v>53</v>
      </c>
      <c r="P112" s="50"/>
      <c r="R112" s="36"/>
    </row>
    <row r="113" spans="6:18" x14ac:dyDescent="0.25">
      <c r="F113" s="40"/>
      <c r="G113" s="41"/>
      <c r="H113" s="41"/>
      <c r="I113" s="41"/>
      <c r="J113" s="41"/>
      <c r="K113" s="41"/>
      <c r="L113" s="41" t="s">
        <v>50</v>
      </c>
      <c r="M113" s="46" t="s">
        <v>43</v>
      </c>
      <c r="N113" s="41"/>
      <c r="O113" s="41" t="s">
        <v>54</v>
      </c>
      <c r="P113" s="50"/>
      <c r="R113" s="36"/>
    </row>
    <row r="114" spans="6:18" x14ac:dyDescent="0.25">
      <c r="F114" s="40"/>
      <c r="G114" s="41">
        <v>190</v>
      </c>
      <c r="H114" s="41"/>
      <c r="I114" s="41"/>
      <c r="J114" s="41"/>
      <c r="K114" s="41"/>
      <c r="L114" s="41"/>
      <c r="M114" s="46"/>
      <c r="N114" s="41"/>
      <c r="O114" s="41"/>
      <c r="P114" s="50"/>
      <c r="R114" s="36"/>
    </row>
    <row r="115" spans="6:18" x14ac:dyDescent="0.25">
      <c r="F115" s="40"/>
      <c r="G115" s="41">
        <v>180</v>
      </c>
      <c r="H115" s="41"/>
      <c r="I115" s="41"/>
      <c r="J115" s="41"/>
      <c r="K115" s="41">
        <f>G114-G115</f>
        <v>10</v>
      </c>
      <c r="L115" s="41">
        <f>L107</f>
        <v>1522.2222222222222</v>
      </c>
      <c r="M115" s="46">
        <f>K115*L115</f>
        <v>15222.222222222223</v>
      </c>
      <c r="N115" s="41" t="str">
        <f>IF(M115&gt;0,"Deficit","Surplus")</f>
        <v>Deficit</v>
      </c>
      <c r="O115" s="41">
        <f>(M115)/3600</f>
        <v>4.2283950617283947</v>
      </c>
      <c r="P115" s="50"/>
      <c r="R115" s="36"/>
    </row>
    <row r="116" spans="6:18" x14ac:dyDescent="0.25">
      <c r="F116" s="40"/>
      <c r="G116" s="41">
        <v>100</v>
      </c>
      <c r="H116" s="41"/>
      <c r="I116" s="41"/>
      <c r="J116" s="41"/>
      <c r="K116" s="41">
        <f t="shared" ref="K116:K118" si="39">G115-G116</f>
        <v>80</v>
      </c>
      <c r="L116" s="41">
        <f>L107-L108</f>
        <v>-243.09994374603184</v>
      </c>
      <c r="M116" s="46">
        <f t="shared" ref="M116:M118" si="40">K116*L116</f>
        <v>-19447.995499682547</v>
      </c>
      <c r="N116" s="41" t="str">
        <f>IF(M116&gt;0,"Deficit","Surplus")</f>
        <v>Surplus</v>
      </c>
      <c r="O116" s="41">
        <f t="shared" ref="O116:O118" si="41">(M116)/3600</f>
        <v>-5.4022209721340406</v>
      </c>
      <c r="P116" s="50"/>
      <c r="R116" s="36"/>
    </row>
    <row r="117" spans="6:18" x14ac:dyDescent="0.25">
      <c r="F117" s="40"/>
      <c r="G117" s="41">
        <v>95</v>
      </c>
      <c r="H117" s="41"/>
      <c r="I117" s="41"/>
      <c r="J117" s="41"/>
      <c r="K117" s="41">
        <f t="shared" si="39"/>
        <v>5</v>
      </c>
      <c r="L117" s="41">
        <f>L107-(L110+L108)</f>
        <v>-370.39444664837652</v>
      </c>
      <c r="M117" s="46">
        <f t="shared" si="40"/>
        <v>-1851.9722332418826</v>
      </c>
      <c r="N117" s="41" t="str">
        <f t="shared" ref="N117:N118" si="42">IF(M117&gt;0,"Deficit","Surplus")</f>
        <v>Surplus</v>
      </c>
      <c r="O117" s="41">
        <f t="shared" si="41"/>
        <v>-0.51443673145607849</v>
      </c>
      <c r="P117" s="50"/>
      <c r="R117" s="36"/>
    </row>
    <row r="118" spans="6:18" x14ac:dyDescent="0.25">
      <c r="F118" s="40"/>
      <c r="G118" s="41">
        <v>45</v>
      </c>
      <c r="H118" s="41"/>
      <c r="I118" s="41"/>
      <c r="J118" s="41"/>
      <c r="K118" s="41">
        <f t="shared" si="39"/>
        <v>50</v>
      </c>
      <c r="L118" s="41">
        <f>L107-(L109+L110)</f>
        <v>106.23242119273255</v>
      </c>
      <c r="M118" s="46">
        <f t="shared" si="40"/>
        <v>5311.6210596366273</v>
      </c>
      <c r="N118" s="41" t="str">
        <f t="shared" si="42"/>
        <v>Deficit</v>
      </c>
      <c r="O118" s="41">
        <f t="shared" si="41"/>
        <v>1.4754502943435075</v>
      </c>
      <c r="P118" s="50"/>
      <c r="R118" s="36"/>
    </row>
    <row r="119" spans="6:18" x14ac:dyDescent="0.25">
      <c r="F119" s="40"/>
      <c r="G119" s="41"/>
      <c r="H119" s="41"/>
      <c r="I119" s="41"/>
      <c r="J119" s="41"/>
      <c r="K119" s="41"/>
      <c r="L119" s="41"/>
      <c r="M119" s="41"/>
      <c r="N119" s="41"/>
      <c r="O119" s="41"/>
      <c r="P119" s="50"/>
      <c r="R119" s="36"/>
    </row>
    <row r="120" spans="6:18" x14ac:dyDescent="0.25">
      <c r="F120" s="40"/>
      <c r="G120" s="41"/>
      <c r="H120" s="41"/>
      <c r="I120" s="41"/>
      <c r="J120" s="41"/>
      <c r="K120" s="41"/>
      <c r="L120" s="41"/>
      <c r="M120" s="41"/>
      <c r="N120" s="41"/>
      <c r="O120" s="41"/>
      <c r="P120" s="50"/>
      <c r="R120" s="36"/>
    </row>
    <row r="121" spans="6:18" x14ac:dyDescent="0.25">
      <c r="F121" s="40"/>
      <c r="G121" s="41">
        <f>G114</f>
        <v>190</v>
      </c>
      <c r="H121" s="41">
        <f t="shared" ref="H121:H124" si="43">O115</f>
        <v>4.2283950617283947</v>
      </c>
      <c r="I121" s="41">
        <v>0</v>
      </c>
      <c r="J121" s="41"/>
      <c r="K121" s="41"/>
      <c r="L121" s="41">
        <f>G121</f>
        <v>190</v>
      </c>
      <c r="M121" s="41">
        <f t="shared" ref="M121:M124" si="44">O115</f>
        <v>4.2283950617283947</v>
      </c>
      <c r="N121" s="41">
        <f>-MIN(I121:I125)</f>
        <v>4.2283950617283947</v>
      </c>
      <c r="O121" s="41"/>
      <c r="P121" s="50" t="str">
        <f>IF(N121=0,"pinchpoint", "no")</f>
        <v>no</v>
      </c>
      <c r="R121" s="36"/>
    </row>
    <row r="122" spans="6:18" x14ac:dyDescent="0.25">
      <c r="F122" s="40"/>
      <c r="G122" s="41">
        <f>G115</f>
        <v>180</v>
      </c>
      <c r="H122" s="41">
        <f t="shared" si="43"/>
        <v>-5.4022209721340406</v>
      </c>
      <c r="I122" s="41">
        <f>I121-H121</f>
        <v>-4.2283950617283947</v>
      </c>
      <c r="J122" s="41"/>
      <c r="K122" s="41"/>
      <c r="L122" s="41">
        <f>G122</f>
        <v>180</v>
      </c>
      <c r="M122" s="41">
        <f t="shared" si="44"/>
        <v>-5.4022209721340406</v>
      </c>
      <c r="N122" s="41">
        <f>N121-M121</f>
        <v>0</v>
      </c>
      <c r="O122" s="41"/>
      <c r="P122" s="50" t="str">
        <f>IF(N122=0,"pinchpoint", "no")</f>
        <v>pinchpoint</v>
      </c>
      <c r="R122" s="36"/>
    </row>
    <row r="123" spans="6:18" x14ac:dyDescent="0.25">
      <c r="F123" s="40"/>
      <c r="G123" s="41">
        <f>G116</f>
        <v>100</v>
      </c>
      <c r="H123" s="41">
        <f t="shared" si="43"/>
        <v>-0.51443673145607849</v>
      </c>
      <c r="I123" s="41">
        <f>I122-H122</f>
        <v>1.1738259104056459</v>
      </c>
      <c r="J123" s="41"/>
      <c r="K123" s="41"/>
      <c r="L123" s="41">
        <f>G123</f>
        <v>100</v>
      </c>
      <c r="M123" s="41">
        <f t="shared" si="44"/>
        <v>-0.51443673145607849</v>
      </c>
      <c r="N123" s="41">
        <f>N122-M122</f>
        <v>5.4022209721340406</v>
      </c>
      <c r="O123" s="41"/>
      <c r="P123" s="50" t="str">
        <f>IF(N123=0,"pinchpoint", "no")</f>
        <v>no</v>
      </c>
      <c r="R123" s="36"/>
    </row>
    <row r="124" spans="6:18" x14ac:dyDescent="0.25">
      <c r="F124" s="40"/>
      <c r="G124" s="41">
        <f>G117</f>
        <v>95</v>
      </c>
      <c r="H124" s="41">
        <f t="shared" si="43"/>
        <v>1.4754502943435075</v>
      </c>
      <c r="I124" s="41">
        <f>I123-H123</f>
        <v>1.6882626418617244</v>
      </c>
      <c r="J124" s="41"/>
      <c r="K124" s="41"/>
      <c r="L124" s="41">
        <f>G124</f>
        <v>95</v>
      </c>
      <c r="M124" s="41">
        <f t="shared" si="44"/>
        <v>1.4754502943435075</v>
      </c>
      <c r="N124" s="41">
        <f>N123-M123</f>
        <v>5.9166577035901193</v>
      </c>
      <c r="O124" s="41"/>
      <c r="P124" s="50" t="str">
        <f>IF(N124=0,"pinchpoint", "no")</f>
        <v>no</v>
      </c>
      <c r="R124" s="36"/>
    </row>
    <row r="125" spans="6:18" x14ac:dyDescent="0.25">
      <c r="F125" s="40"/>
      <c r="G125" s="41">
        <f>G118</f>
        <v>45</v>
      </c>
      <c r="H125" s="41"/>
      <c r="I125" s="41">
        <f>I124-H124</f>
        <v>0.21281234751821687</v>
      </c>
      <c r="J125" s="41"/>
      <c r="K125" s="41"/>
      <c r="L125" s="41">
        <f>G125</f>
        <v>45</v>
      </c>
      <c r="M125" s="41"/>
      <c r="N125" s="41">
        <f>N124-M124</f>
        <v>4.4412074092466121</v>
      </c>
      <c r="O125" s="41"/>
      <c r="P125" s="50" t="str">
        <f>IF(N125=0,"pinchpoint", "no")</f>
        <v>no</v>
      </c>
      <c r="R125" s="36"/>
    </row>
    <row r="126" spans="6:18" ht="15.75" thickBot="1" x14ac:dyDescent="0.3">
      <c r="F126" s="52"/>
      <c r="G126" s="53"/>
      <c r="H126" s="53"/>
      <c r="I126" s="53"/>
      <c r="J126" s="53"/>
      <c r="K126" s="53"/>
      <c r="L126" s="53"/>
      <c r="M126" s="53"/>
      <c r="N126" s="53"/>
      <c r="O126" s="53"/>
      <c r="P126" s="54"/>
      <c r="R126" s="36"/>
    </row>
    <row r="128" spans="6:18" x14ac:dyDescent="0.25">
      <c r="G128" t="s">
        <v>172</v>
      </c>
    </row>
    <row r="129" spans="2:15" x14ac:dyDescent="0.25">
      <c r="H129" t="s">
        <v>110</v>
      </c>
      <c r="J129">
        <f>N121</f>
        <v>4.2283950617283947</v>
      </c>
      <c r="K129" t="s">
        <v>54</v>
      </c>
    </row>
    <row r="130" spans="2:15" x14ac:dyDescent="0.25">
      <c r="H130" t="s">
        <v>111</v>
      </c>
      <c r="J130">
        <f>N125</f>
        <v>4.4412074092466121</v>
      </c>
      <c r="K130" t="s">
        <v>54</v>
      </c>
    </row>
    <row r="131" spans="2:15" x14ac:dyDescent="0.25">
      <c r="H131" t="s">
        <v>116</v>
      </c>
      <c r="J131">
        <f>SUM(J129:J130)</f>
        <v>8.6696024709750077</v>
      </c>
      <c r="K131" t="s">
        <v>54</v>
      </c>
    </row>
    <row r="132" spans="2:15" x14ac:dyDescent="0.25">
      <c r="G132" t="s">
        <v>171</v>
      </c>
    </row>
    <row r="133" spans="2:15" x14ac:dyDescent="0.25">
      <c r="H133" t="s">
        <v>110</v>
      </c>
      <c r="J133">
        <f>N107</f>
        <v>61.311728395061728</v>
      </c>
      <c r="K133" t="s">
        <v>54</v>
      </c>
    </row>
    <row r="134" spans="2:15" x14ac:dyDescent="0.25">
      <c r="H134" t="s">
        <v>111</v>
      </c>
      <c r="J134">
        <f>-SUM(N108:N110)</f>
        <v>61.524540742579944</v>
      </c>
      <c r="K134" t="s">
        <v>54</v>
      </c>
    </row>
    <row r="135" spans="2:15" x14ac:dyDescent="0.25">
      <c r="H135" t="s">
        <v>116</v>
      </c>
      <c r="J135">
        <f>SUM(J133:J134)</f>
        <v>122.83626913764166</v>
      </c>
      <c r="K135" t="s">
        <v>54</v>
      </c>
    </row>
    <row r="137" spans="2:15" x14ac:dyDescent="0.25">
      <c r="H137" t="s">
        <v>115</v>
      </c>
      <c r="J137">
        <f>J135-J131</f>
        <v>114.16666666666666</v>
      </c>
      <c r="K137" t="s">
        <v>54</v>
      </c>
    </row>
    <row r="140" spans="2:15" ht="28.5" x14ac:dyDescent="0.45">
      <c r="B140" s="3" t="s">
        <v>123</v>
      </c>
    </row>
    <row r="142" spans="2:15" x14ac:dyDescent="0.25">
      <c r="C142" t="s">
        <v>55</v>
      </c>
      <c r="D142" s="56" t="s">
        <v>6</v>
      </c>
      <c r="F142" s="56" t="s">
        <v>5</v>
      </c>
      <c r="H142" s="56" t="s">
        <v>79</v>
      </c>
    </row>
    <row r="143" spans="2:15" x14ac:dyDescent="0.25">
      <c r="B143" t="s">
        <v>17</v>
      </c>
      <c r="C143">
        <v>3210</v>
      </c>
      <c r="D143">
        <f t="shared" ref="D143:D149" si="45">K25</f>
        <v>7.4662504086216927E-2</v>
      </c>
      <c r="E143">
        <f>C143*D143</f>
        <v>239.66663811675633</v>
      </c>
      <c r="F143">
        <f t="shared" ref="F143:F149" si="46">I25</f>
        <v>3.238941887891914E-3</v>
      </c>
      <c r="G143">
        <f>F143*C143</f>
        <v>10.397003460133044</v>
      </c>
      <c r="H143">
        <f t="shared" ref="H143:H149" si="47">G25</f>
        <v>6.8571428571428575E-2</v>
      </c>
      <c r="I143">
        <f>H143*C143</f>
        <v>220.11428571428573</v>
      </c>
      <c r="L143">
        <f>E150</f>
        <v>1493.913175167856</v>
      </c>
      <c r="M143" t="s">
        <v>119</v>
      </c>
      <c r="O143" s="55"/>
    </row>
    <row r="144" spans="2:15" x14ac:dyDescent="0.25">
      <c r="B144" t="s">
        <v>16</v>
      </c>
      <c r="C144">
        <v>1.98</v>
      </c>
      <c r="D144">
        <f t="shared" si="45"/>
        <v>1.2804625801897385E-2</v>
      </c>
      <c r="E144">
        <f t="shared" ref="E144:E149" si="48">C144*D144</f>
        <v>2.5353159087756823E-2</v>
      </c>
      <c r="F144">
        <f t="shared" si="46"/>
        <v>0.36232686228093752</v>
      </c>
      <c r="G144">
        <f t="shared" ref="G144:G149" si="49">F144*C144</f>
        <v>0.7174071873162563</v>
      </c>
      <c r="H144">
        <f>G26</f>
        <v>4.2612244897959173E-2</v>
      </c>
      <c r="I144">
        <f t="shared" ref="I144:I149" si="50">H144*C144</f>
        <v>8.4372244897959164E-2</v>
      </c>
      <c r="L144">
        <f>G150</f>
        <v>648.36654529664463</v>
      </c>
      <c r="M144" t="s">
        <v>120</v>
      </c>
    </row>
    <row r="145" spans="1:13" x14ac:dyDescent="0.25">
      <c r="B145" t="s">
        <v>12</v>
      </c>
      <c r="C145">
        <v>2960</v>
      </c>
      <c r="D145">
        <f t="shared" si="45"/>
        <v>8.989177213622955E-2</v>
      </c>
      <c r="E145">
        <f t="shared" si="48"/>
        <v>266.07964552323949</v>
      </c>
      <c r="F145">
        <f t="shared" si="46"/>
        <v>7.0362389354422495E-4</v>
      </c>
      <c r="G145">
        <f t="shared" si="49"/>
        <v>2.082726724890906</v>
      </c>
      <c r="H145">
        <f t="shared" si="47"/>
        <v>8.2285714285714281E-2</v>
      </c>
      <c r="I145">
        <f t="shared" si="50"/>
        <v>243.56571428571428</v>
      </c>
    </row>
    <row r="146" spans="1:13" x14ac:dyDescent="0.25">
      <c r="B146" t="s">
        <v>31</v>
      </c>
      <c r="C146">
        <v>2650</v>
      </c>
      <c r="D146">
        <f t="shared" si="45"/>
        <v>3.2127632988576932E-2</v>
      </c>
      <c r="E146">
        <f t="shared" si="48"/>
        <v>85.138227419728864</v>
      </c>
      <c r="F146">
        <f t="shared" si="46"/>
        <v>1.7422284473802471E-19</v>
      </c>
      <c r="G146">
        <f t="shared" si="49"/>
        <v>4.616905385557655E-16</v>
      </c>
      <c r="H146">
        <f t="shared" si="47"/>
        <v>2.9387755102040815E-2</v>
      </c>
      <c r="I146">
        <f t="shared" si="50"/>
        <v>77.877551020408163</v>
      </c>
      <c r="K146" t="s">
        <v>121</v>
      </c>
      <c r="L146">
        <f>C39</f>
        <v>444.65505102083335</v>
      </c>
      <c r="M146" t="s">
        <v>22</v>
      </c>
    </row>
    <row r="147" spans="1:13" x14ac:dyDescent="0.25">
      <c r="B147" t="s">
        <v>18</v>
      </c>
      <c r="C147">
        <v>1000</v>
      </c>
      <c r="D147">
        <f t="shared" si="45"/>
        <v>0.69524944820188506</v>
      </c>
      <c r="E147">
        <f t="shared" si="48"/>
        <v>695.249448201885</v>
      </c>
      <c r="F147">
        <f t="shared" si="46"/>
        <v>0.63253154122522737</v>
      </c>
      <c r="G147">
        <f t="shared" si="49"/>
        <v>632.53154122522733</v>
      </c>
      <c r="H147">
        <f t="shared" si="47"/>
        <v>0.68990079999999998</v>
      </c>
      <c r="I147">
        <f t="shared" si="50"/>
        <v>689.9008</v>
      </c>
      <c r="K147" t="s">
        <v>122</v>
      </c>
      <c r="L147">
        <f>C35</f>
        <v>41.456060090277781</v>
      </c>
      <c r="M147" t="s">
        <v>22</v>
      </c>
    </row>
    <row r="148" spans="1:13" x14ac:dyDescent="0.25">
      <c r="B148" t="s">
        <v>13</v>
      </c>
      <c r="C148">
        <v>2200</v>
      </c>
      <c r="D148">
        <f t="shared" si="45"/>
        <v>4.9589660291666553E-2</v>
      </c>
      <c r="E148">
        <f t="shared" si="48"/>
        <v>109.09725264166642</v>
      </c>
      <c r="F148">
        <f t="shared" si="46"/>
        <v>1.199030317762318E-3</v>
      </c>
      <c r="G148">
        <f t="shared" si="49"/>
        <v>2.6378666990770996</v>
      </c>
      <c r="H148">
        <f t="shared" si="47"/>
        <v>4.5462857142857145E-2</v>
      </c>
      <c r="I148">
        <f t="shared" si="50"/>
        <v>100.01828571428572</v>
      </c>
      <c r="K148" t="s">
        <v>126</v>
      </c>
      <c r="L148">
        <v>1E-3</v>
      </c>
    </row>
    <row r="149" spans="1:13" x14ac:dyDescent="0.25">
      <c r="B149" t="s">
        <v>30</v>
      </c>
      <c r="C149">
        <v>2160</v>
      </c>
      <c r="D149">
        <f t="shared" si="45"/>
        <v>4.5674356530320356E-2</v>
      </c>
      <c r="E149">
        <f t="shared" si="48"/>
        <v>98.656610105491964</v>
      </c>
      <c r="F149">
        <f t="shared" si="46"/>
        <v>3.1827935168507756E-24</v>
      </c>
      <c r="G149">
        <f t="shared" si="49"/>
        <v>6.8748339963976757E-21</v>
      </c>
      <c r="H149">
        <f t="shared" si="47"/>
        <v>4.1779199999999996E-2</v>
      </c>
      <c r="I149">
        <f t="shared" si="50"/>
        <v>90.243071999999984</v>
      </c>
    </row>
    <row r="150" spans="1:13" x14ac:dyDescent="0.25">
      <c r="E150">
        <f>SUM(E143:E149)</f>
        <v>1493.913175167856</v>
      </c>
      <c r="G150">
        <f>SUM(G143:G149)</f>
        <v>648.36654529664463</v>
      </c>
      <c r="I150">
        <f>SUM(I143:I149)</f>
        <v>1421.8040809795916</v>
      </c>
    </row>
    <row r="152" spans="1:13" ht="22.5" x14ac:dyDescent="0.45">
      <c r="A152" s="7"/>
      <c r="B152" s="57" t="s">
        <v>124</v>
      </c>
    </row>
    <row r="154" spans="1:13" x14ac:dyDescent="0.25">
      <c r="B154" t="s">
        <v>125</v>
      </c>
      <c r="C154">
        <f>L148*((L143-L144)/L144)^0.5</f>
        <v>1.1419799593578859E-3</v>
      </c>
      <c r="D154" t="s">
        <v>134</v>
      </c>
    </row>
    <row r="155" spans="1:13" x14ac:dyDescent="0.25">
      <c r="B155" t="s">
        <v>127</v>
      </c>
      <c r="C155">
        <f>C154*0.66</f>
        <v>7.5370677317620474E-4</v>
      </c>
      <c r="D155" t="s">
        <v>134</v>
      </c>
    </row>
    <row r="157" spans="1:13" ht="22.5" x14ac:dyDescent="0.45">
      <c r="B157" s="57" t="s">
        <v>128</v>
      </c>
      <c r="J157" s="57" t="s">
        <v>165</v>
      </c>
    </row>
    <row r="158" spans="1:13" x14ac:dyDescent="0.25">
      <c r="K158">
        <f>I150</f>
        <v>1421.8040809795916</v>
      </c>
      <c r="L158" t="s">
        <v>143</v>
      </c>
    </row>
    <row r="159" spans="1:13" x14ac:dyDescent="0.25">
      <c r="B159" t="s">
        <v>129</v>
      </c>
      <c r="C159">
        <f>L147/L144</f>
        <v>6.3939233742096535E-2</v>
      </c>
      <c r="D159" t="s">
        <v>132</v>
      </c>
      <c r="E159">
        <f>C159/3600</f>
        <v>1.7760898261693481E-5</v>
      </c>
      <c r="F159" t="s">
        <v>133</v>
      </c>
      <c r="J159" t="s">
        <v>155</v>
      </c>
      <c r="K159">
        <f>H32</f>
        <v>486.11111111111114</v>
      </c>
      <c r="L159" t="s">
        <v>24</v>
      </c>
    </row>
    <row r="160" spans="1:13" x14ac:dyDescent="0.25">
      <c r="B160" t="s">
        <v>131</v>
      </c>
      <c r="C160">
        <f>L146/L143</f>
        <v>0.297644507332812</v>
      </c>
      <c r="D160" t="s">
        <v>132</v>
      </c>
      <c r="E160">
        <f>C160/3600</f>
        <v>8.2679029814670005E-5</v>
      </c>
      <c r="F160" t="s">
        <v>133</v>
      </c>
      <c r="J160" t="s">
        <v>154</v>
      </c>
      <c r="K160">
        <f>K159/K158</f>
        <v>0.34189739473542047</v>
      </c>
      <c r="L160" t="s">
        <v>132</v>
      </c>
    </row>
    <row r="161" spans="2:14" x14ac:dyDescent="0.25">
      <c r="K161">
        <f>K160/3600</f>
        <v>9.4971498537616797E-5</v>
      </c>
      <c r="L161" t="s">
        <v>133</v>
      </c>
    </row>
    <row r="162" spans="2:14" ht="22.5" x14ac:dyDescent="0.45">
      <c r="B162" s="57" t="s">
        <v>130</v>
      </c>
      <c r="J162" t="s">
        <v>156</v>
      </c>
      <c r="K162">
        <v>1</v>
      </c>
      <c r="L162" t="s">
        <v>134</v>
      </c>
    </row>
    <row r="163" spans="2:14" x14ac:dyDescent="0.25">
      <c r="J163" t="s">
        <v>153</v>
      </c>
      <c r="K163">
        <f>((4*K161)/(3.14*K162))^0.5</f>
        <v>1.0999218185164897E-2</v>
      </c>
      <c r="L163" t="s">
        <v>41</v>
      </c>
      <c r="M163">
        <f>(K163*12)/0.305</f>
        <v>0.4327561253179632</v>
      </c>
      <c r="N163" t="s">
        <v>136</v>
      </c>
    </row>
    <row r="164" spans="2:14" x14ac:dyDescent="0.25">
      <c r="B164" t="s">
        <v>135</v>
      </c>
      <c r="C164">
        <f>((4*E159)/(3.14*C155))^0.5</f>
        <v>0.17325924830845682</v>
      </c>
      <c r="D164" t="s">
        <v>41</v>
      </c>
      <c r="E164">
        <f>(C164*12)/0.305</f>
        <v>6.8167573104966612</v>
      </c>
      <c r="F164" t="s">
        <v>136</v>
      </c>
      <c r="G164">
        <f>E164/12</f>
        <v>0.56806310920805514</v>
      </c>
      <c r="H164" t="s">
        <v>152</v>
      </c>
      <c r="J164" t="s">
        <v>157</v>
      </c>
      <c r="K164">
        <v>0.3</v>
      </c>
      <c r="L164" t="s">
        <v>134</v>
      </c>
    </row>
    <row r="165" spans="2:14" x14ac:dyDescent="0.25">
      <c r="J165" t="s">
        <v>158</v>
      </c>
      <c r="K165">
        <f>((4*E159)/(3.14*K164))^0.5</f>
        <v>8.6843437871586149E-3</v>
      </c>
      <c r="L165" t="s">
        <v>41</v>
      </c>
      <c r="M165">
        <f>(K165*12)/0.305</f>
        <v>0.34167909982263406</v>
      </c>
      <c r="N165" t="s">
        <v>136</v>
      </c>
    </row>
    <row r="166" spans="2:14" ht="22.5" x14ac:dyDescent="0.45">
      <c r="B166" s="57" t="s">
        <v>137</v>
      </c>
      <c r="J166" t="s">
        <v>159</v>
      </c>
      <c r="K166">
        <v>1</v>
      </c>
      <c r="L166" t="s">
        <v>134</v>
      </c>
    </row>
    <row r="167" spans="2:14" x14ac:dyDescent="0.25">
      <c r="B167" t="s">
        <v>139</v>
      </c>
      <c r="C167">
        <v>2</v>
      </c>
      <c r="D167" t="s">
        <v>140</v>
      </c>
      <c r="E167">
        <f>C167*60</f>
        <v>120</v>
      </c>
      <c r="F167" t="s">
        <v>141</v>
      </c>
      <c r="J167" t="s">
        <v>160</v>
      </c>
      <c r="K167">
        <f>((4*E160)/(3.14*K166))^0.5</f>
        <v>1.0262728918735612E-2</v>
      </c>
      <c r="L167" t="s">
        <v>134</v>
      </c>
      <c r="M167">
        <f>(K167*12)/0.305</f>
        <v>0.40377949844205685</v>
      </c>
      <c r="N167" t="s">
        <v>136</v>
      </c>
    </row>
    <row r="168" spans="2:14" x14ac:dyDescent="0.25">
      <c r="B168" t="s">
        <v>138</v>
      </c>
      <c r="C168">
        <f>((4*E160)/(3.14*C164^2))*120</f>
        <v>0.42103103471082498</v>
      </c>
      <c r="D168" t="s">
        <v>41</v>
      </c>
      <c r="E168">
        <f>(C168*12)/0.305</f>
        <v>16.565155464032458</v>
      </c>
      <c r="F168" t="s">
        <v>136</v>
      </c>
    </row>
    <row r="170" spans="2:14" ht="22.5" x14ac:dyDescent="0.45">
      <c r="B170" s="57" t="s">
        <v>142</v>
      </c>
      <c r="J170" s="57" t="s">
        <v>161</v>
      </c>
    </row>
    <row r="172" spans="2:14" x14ac:dyDescent="0.25">
      <c r="B172" t="s">
        <v>144</v>
      </c>
      <c r="C172">
        <f>6</f>
        <v>6</v>
      </c>
      <c r="D172" t="s">
        <v>136</v>
      </c>
      <c r="J172" t="s">
        <v>163</v>
      </c>
      <c r="K172">
        <v>112.3</v>
      </c>
      <c r="L172" t="s">
        <v>164</v>
      </c>
      <c r="M172">
        <f>K172/2.2046</f>
        <v>50.938945840515281</v>
      </c>
      <c r="N172" t="s">
        <v>170</v>
      </c>
    </row>
    <row r="173" spans="2:14" x14ac:dyDescent="0.25">
      <c r="J173" t="s">
        <v>135</v>
      </c>
      <c r="K173">
        <f>G164</f>
        <v>0.56806310920805514</v>
      </c>
      <c r="L173" t="s">
        <v>152</v>
      </c>
    </row>
    <row r="174" spans="2:14" ht="22.5" x14ac:dyDescent="0.45">
      <c r="B174" s="57" t="s">
        <v>145</v>
      </c>
      <c r="J174" t="s">
        <v>20</v>
      </c>
      <c r="K174">
        <f>E186</f>
        <v>2.9484927312107598</v>
      </c>
      <c r="L174" t="s">
        <v>152</v>
      </c>
    </row>
    <row r="176" spans="2:14" x14ac:dyDescent="0.25">
      <c r="B176" t="s">
        <v>20</v>
      </c>
      <c r="C176">
        <f>(4*E159)/(3.14*C155*C164)</f>
        <v>0.17325924830845682</v>
      </c>
      <c r="D176" t="s">
        <v>41</v>
      </c>
      <c r="E176">
        <f>(C176*12)/0.305</f>
        <v>6.8167573104966612</v>
      </c>
      <c r="F176" t="s">
        <v>136</v>
      </c>
      <c r="J176" t="s">
        <v>166</v>
      </c>
      <c r="K176">
        <f>EXP(9.1-0.2889*(LN(K172))+0.04576*(LN(K172))^2)</f>
        <v>6348.7904702635687</v>
      </c>
    </row>
    <row r="177" spans="2:12" x14ac:dyDescent="0.25">
      <c r="J177" t="s">
        <v>167</v>
      </c>
      <c r="K177">
        <f>246*(K173^0.7396)*(K174^0.7068)</f>
        <v>347.69636145555472</v>
      </c>
    </row>
    <row r="178" spans="2:12" x14ac:dyDescent="0.25">
      <c r="B178" t="s">
        <v>146</v>
      </c>
      <c r="J178" t="s">
        <v>168</v>
      </c>
      <c r="K178">
        <v>1.7</v>
      </c>
    </row>
    <row r="179" spans="2:12" ht="18.75" x14ac:dyDescent="0.3">
      <c r="B179" t="s">
        <v>147</v>
      </c>
      <c r="C179">
        <v>6</v>
      </c>
      <c r="D179" t="s">
        <v>136</v>
      </c>
    </row>
    <row r="180" spans="2:12" x14ac:dyDescent="0.25">
      <c r="J180" t="s">
        <v>162</v>
      </c>
      <c r="K180">
        <f>(K178*K176)+K177</f>
        <v>11140.640160903622</v>
      </c>
      <c r="L180" t="s">
        <v>169</v>
      </c>
    </row>
    <row r="181" spans="2:12" x14ac:dyDescent="0.25">
      <c r="B181" t="s">
        <v>148</v>
      </c>
      <c r="D181">
        <f>0.5*E164</f>
        <v>3.4083786552483306</v>
      </c>
      <c r="E181" t="s">
        <v>136</v>
      </c>
    </row>
    <row r="184" spans="2:12" ht="22.5" x14ac:dyDescent="0.45">
      <c r="B184" s="57" t="s">
        <v>149</v>
      </c>
    </row>
    <row r="186" spans="2:12" x14ac:dyDescent="0.25">
      <c r="B186" t="s">
        <v>150</v>
      </c>
      <c r="C186">
        <f>E168+C172+E176+C179</f>
        <v>35.38191277452912</v>
      </c>
      <c r="D186" t="s">
        <v>136</v>
      </c>
      <c r="E186">
        <f>C186/12</f>
        <v>2.9484927312107598</v>
      </c>
      <c r="F186" t="s">
        <v>152</v>
      </c>
    </row>
    <row r="189" spans="2:12" x14ac:dyDescent="0.25">
      <c r="B189" t="s">
        <v>151</v>
      </c>
      <c r="C189">
        <f>C186/E164</f>
        <v>5.1904316323608759</v>
      </c>
    </row>
  </sheetData>
  <conditionalFormatting sqref="R75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R74">
    <cfRule type="cellIs" dxfId="0" priority="1" operator="equal">
      <formula>"""YES"""</formula>
    </cfRule>
  </conditionalFormatting>
  <pageMargins left="0.7" right="0.7" top="0.75" bottom="0.75" header="0.3" footer="0.3"/>
  <pageSetup scale="3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 Malik</dc:creator>
  <cp:lastModifiedBy>Waqar Younis Deval</cp:lastModifiedBy>
  <cp:lastPrinted>2020-03-13T09:39:16Z</cp:lastPrinted>
  <dcterms:created xsi:type="dcterms:W3CDTF">2019-12-05T18:37:11Z</dcterms:created>
  <dcterms:modified xsi:type="dcterms:W3CDTF">2020-04-22T14:13:04Z</dcterms:modified>
</cp:coreProperties>
</file>