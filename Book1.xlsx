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mad Hashmi\Desktop\FYP\FYP execution\"/>
    </mc:Choice>
  </mc:AlternateContent>
  <xr:revisionPtr revIDLastSave="0" documentId="13_ncr:1_{B4D1F917-AFE6-46C6-B06C-D17E986FF1D5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3" i="1" l="1"/>
  <c r="F132" i="1"/>
  <c r="B133" i="1"/>
  <c r="B132" i="1"/>
  <c r="B126" i="1"/>
  <c r="B125" i="1"/>
  <c r="B127" i="1" s="1"/>
  <c r="B117" i="1"/>
  <c r="B118" i="1"/>
  <c r="F110" i="1"/>
  <c r="F109" i="1"/>
  <c r="B109" i="1"/>
  <c r="F100" i="1"/>
  <c r="B101" i="1"/>
  <c r="B102" i="1"/>
  <c r="B100" i="1"/>
  <c r="B81" i="1"/>
  <c r="B89" i="1"/>
  <c r="B93" i="1"/>
  <c r="B92" i="1"/>
  <c r="B91" i="1"/>
  <c r="B90" i="1"/>
  <c r="B79" i="1"/>
  <c r="B80" i="1"/>
  <c r="B82" i="1"/>
  <c r="B78" i="1"/>
  <c r="F71" i="1"/>
  <c r="F70" i="1"/>
  <c r="B71" i="1"/>
  <c r="B70" i="1"/>
  <c r="C72" i="1"/>
  <c r="F62" i="1"/>
  <c r="F61" i="1"/>
  <c r="F42" i="1"/>
  <c r="B63" i="1"/>
  <c r="B62" i="1"/>
  <c r="B61" i="1"/>
  <c r="B55" i="1"/>
  <c r="B54" i="1"/>
  <c r="B53" i="1"/>
  <c r="F43" i="1"/>
  <c r="F44" i="1"/>
  <c r="A41" i="1"/>
  <c r="B41" i="1"/>
  <c r="C41" i="1"/>
  <c r="A42" i="1"/>
  <c r="B42" i="1"/>
  <c r="C42" i="1"/>
  <c r="A43" i="1"/>
  <c r="B43" i="1"/>
  <c r="C43" i="1"/>
  <c r="A44" i="1"/>
  <c r="B44" i="1"/>
  <c r="C44" i="1"/>
  <c r="A45" i="1"/>
  <c r="B45" i="1"/>
  <c r="C45" i="1"/>
  <c r="A46" i="1"/>
  <c r="B46" i="1"/>
  <c r="C46" i="1"/>
  <c r="A47" i="1"/>
  <c r="B47" i="1"/>
  <c r="C47" i="1"/>
  <c r="F31" i="1"/>
  <c r="F32" i="1"/>
  <c r="F30" i="1"/>
  <c r="C30" i="1"/>
  <c r="C31" i="1"/>
  <c r="C32" i="1"/>
  <c r="C33" i="1"/>
  <c r="C34" i="1"/>
  <c r="F134" i="1" l="1"/>
  <c r="B134" i="1"/>
  <c r="F72" i="1"/>
  <c r="B56" i="1"/>
  <c r="B103" i="1"/>
  <c r="F45" i="1"/>
  <c r="B119" i="1"/>
  <c r="B110" i="1"/>
  <c r="F33" i="1"/>
  <c r="F102" i="1"/>
  <c r="F103" i="1" s="1"/>
  <c r="B111" i="1"/>
  <c r="B72" i="1"/>
  <c r="F101" i="1"/>
  <c r="F111" i="1"/>
  <c r="F63" i="1"/>
  <c r="B94" i="1"/>
  <c r="B83" i="1"/>
  <c r="B64" i="1"/>
  <c r="C35" i="1"/>
  <c r="B112" i="1" l="1"/>
  <c r="C6" i="1"/>
  <c r="C7" i="1"/>
  <c r="C8" i="1"/>
  <c r="C9" i="1"/>
  <c r="C10" i="1"/>
  <c r="F6" i="1"/>
  <c r="F7" i="1"/>
  <c r="G8" i="1"/>
  <c r="C11" i="1" l="1"/>
  <c r="F8" i="1"/>
</calcChain>
</file>

<file path=xl/sharedStrings.xml><?xml version="1.0" encoding="utf-8"?>
<sst xmlns="http://schemas.openxmlformats.org/spreadsheetml/2006/main" count="210" uniqueCount="56">
  <si>
    <t>Mole %</t>
  </si>
  <si>
    <t>Kgmole/hr</t>
  </si>
  <si>
    <t>Component</t>
  </si>
  <si>
    <t>STREAM 5</t>
  </si>
  <si>
    <t>H2O</t>
  </si>
  <si>
    <t>STREAM 4</t>
  </si>
  <si>
    <t>Total</t>
  </si>
  <si>
    <t xml:space="preserve">LIZARDITE </t>
  </si>
  <si>
    <t xml:space="preserve">STREAM 3 </t>
  </si>
  <si>
    <t>F</t>
  </si>
  <si>
    <t>Ar</t>
  </si>
  <si>
    <t>O2</t>
  </si>
  <si>
    <t>N2</t>
  </si>
  <si>
    <t>H20</t>
  </si>
  <si>
    <t>CO2</t>
  </si>
  <si>
    <t>kgmole/hr</t>
  </si>
  <si>
    <t xml:space="preserve">STREAM 2 </t>
  </si>
  <si>
    <t>B</t>
  </si>
  <si>
    <t xml:space="preserve">STREAM 1 </t>
  </si>
  <si>
    <t>BASIS</t>
  </si>
  <si>
    <t xml:space="preserve">0VERALL BALANCE </t>
  </si>
  <si>
    <t xml:space="preserve">BALANCE ON ABSORBER </t>
  </si>
  <si>
    <t xml:space="preserve">Component </t>
  </si>
  <si>
    <t>IN</t>
  </si>
  <si>
    <t xml:space="preserve">IN </t>
  </si>
  <si>
    <t xml:space="preserve">OUT </t>
  </si>
  <si>
    <t>STREAM 6</t>
  </si>
  <si>
    <t>MEA</t>
  </si>
  <si>
    <t>E</t>
  </si>
  <si>
    <t>C</t>
  </si>
  <si>
    <t>OUT</t>
  </si>
  <si>
    <t>STREAM 7</t>
  </si>
  <si>
    <t>STREAM 2</t>
  </si>
  <si>
    <t>STRIPPER</t>
  </si>
  <si>
    <t>G</t>
  </si>
  <si>
    <t>STREAM 8</t>
  </si>
  <si>
    <t>REACTOR</t>
  </si>
  <si>
    <t>LIZARDITE</t>
  </si>
  <si>
    <t>CO3 -2</t>
  </si>
  <si>
    <t>Mg+2</t>
  </si>
  <si>
    <t>SiO2</t>
  </si>
  <si>
    <t>H</t>
  </si>
  <si>
    <t>FILTER 1</t>
  </si>
  <si>
    <t>STREAM 9</t>
  </si>
  <si>
    <t>STREAM 10</t>
  </si>
  <si>
    <t>J</t>
  </si>
  <si>
    <t>K</t>
  </si>
  <si>
    <t>PRECIPITATOR</t>
  </si>
  <si>
    <t>MgCO3.3H2O</t>
  </si>
  <si>
    <t>STREAM 11</t>
  </si>
  <si>
    <t>STREAM 12</t>
  </si>
  <si>
    <t>S12</t>
  </si>
  <si>
    <t>FILTER 2</t>
  </si>
  <si>
    <t>STREAM 13</t>
  </si>
  <si>
    <t>S13</t>
  </si>
  <si>
    <t>STREAM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</si>
</sst>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0" fillId="3" borderId="0" xfId="0" applyFill="1"/>
    <xf numFmtId="0" fontId="0" fillId="4" borderId="0" xfId="0" applyFill="1"/>
    <xf numFmtId="0" fontId="2" fillId="0" borderId="0" xfId="0" applyFont="1"/>
    <xf numFmtId="0" fontId="1" fillId="3" borderId="0" xfId="1" applyFill="1" applyAlignment="1">
      <alignment horizontal="center"/>
    </xf>
    <xf numFmtId="3" fontId="0" fillId="3" borderId="0" xfId="0" applyNumberFormat="1" applyFill="1"/>
    <xf numFmtId="0" fontId="2" fillId="5" borderId="0" xfId="0" applyFont="1" applyFill="1"/>
    <xf numFmtId="0" fontId="0" fillId="5" borderId="0" xfId="0" applyFill="1"/>
    <xf numFmtId="9" fontId="0" fillId="0" borderId="0" xfId="2" applyFont="1"/>
    <xf numFmtId="0" fontId="0" fillId="0" borderId="0" xfId="2" applyNumberFormat="1" applyFont="1"/>
    <xf numFmtId="0" fontId="0" fillId="6" borderId="0" xfId="0" applyFill="1"/>
    <xf numFmtId="3" fontId="0" fillId="7" borderId="0" xfId="0" applyNumberFormat="1" applyFill="1"/>
    <xf numFmtId="0" fontId="1" fillId="2" borderId="0" xfId="1" applyAlignment="1">
      <alignment horizontal="center"/>
    </xf>
    <xf numFmtId="0" fontId="0" fillId="0" borderId="0" xfId="0" applyAlignment="1">
      <alignment horizontal="left"/>
    </xf>
    <xf numFmtId="0" fontId="4" fillId="3" borderId="0" xfId="1" applyFont="1" applyFill="1" applyAlignment="1">
      <alignment horizontal="center"/>
    </xf>
  </cellXfs>
  <cellStyles count="3">
    <cellStyle name="Good" xfId="1" builtinId="2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"/>
  <sheetViews>
    <sheetView tabSelected="1" zoomScaleNormal="100" workbookViewId="0">
      <selection activeCell="J19" sqref="J19"/>
    </sheetView>
  </sheetViews>
  <sheetFormatPr defaultRowHeight="15" x14ac:dyDescent="0.25"/>
  <cols>
    <col min="1" max="1" width="12.28515625" customWidth="1"/>
    <col min="5" max="5" width="14.5703125" customWidth="1"/>
    <col min="9" max="9" width="12.85546875" customWidth="1"/>
    <col min="13" max="13" width="12.140625" customWidth="1"/>
    <col min="17" max="17" width="12" customWidth="1"/>
  </cols>
  <sheetData>
    <row r="1" spans="1:11" s="7" customFormat="1" x14ac:dyDescent="0.25">
      <c r="A1" s="6" t="s">
        <v>20</v>
      </c>
      <c r="B1" s="6"/>
    </row>
    <row r="2" spans="1:11" x14ac:dyDescent="0.25">
      <c r="A2" t="s">
        <v>19</v>
      </c>
      <c r="B2" s="11">
        <v>320.51</v>
      </c>
      <c r="C2" t="s">
        <v>1</v>
      </c>
    </row>
    <row r="3" spans="1:11" x14ac:dyDescent="0.25">
      <c r="A3" s="3" t="s">
        <v>24</v>
      </c>
      <c r="B3" s="5"/>
    </row>
    <row r="4" spans="1:11" x14ac:dyDescent="0.25">
      <c r="A4" s="12" t="s">
        <v>18</v>
      </c>
      <c r="B4" s="12"/>
      <c r="C4" s="12"/>
      <c r="D4" s="14"/>
      <c r="E4" s="12" t="s">
        <v>8</v>
      </c>
      <c r="F4" s="12"/>
      <c r="G4" s="12"/>
    </row>
    <row r="5" spans="1:11" x14ac:dyDescent="0.25">
      <c r="A5" t="s">
        <v>2</v>
      </c>
      <c r="B5" t="s">
        <v>0</v>
      </c>
      <c r="C5" t="s">
        <v>1</v>
      </c>
      <c r="E5" t="s">
        <v>2</v>
      </c>
      <c r="F5" t="s">
        <v>1</v>
      </c>
      <c r="G5" t="s">
        <v>0</v>
      </c>
    </row>
    <row r="6" spans="1:11" x14ac:dyDescent="0.25">
      <c r="A6" t="s">
        <v>14</v>
      </c>
      <c r="B6" s="1">
        <v>13</v>
      </c>
      <c r="C6" s="1">
        <f>((B6*B2)/100)</f>
        <v>41.6663</v>
      </c>
      <c r="D6" s="1"/>
      <c r="E6" t="s">
        <v>7</v>
      </c>
      <c r="F6">
        <f>(B24*G6)/100</f>
        <v>83.334000000000003</v>
      </c>
      <c r="G6" s="1">
        <v>2</v>
      </c>
    </row>
    <row r="7" spans="1:11" x14ac:dyDescent="0.25">
      <c r="A7" t="s">
        <v>13</v>
      </c>
      <c r="B7" s="1">
        <v>12</v>
      </c>
      <c r="C7" s="1">
        <f>((B7*B2)/100)</f>
        <v>38.461199999999998</v>
      </c>
      <c r="D7" s="1"/>
      <c r="E7" t="s">
        <v>4</v>
      </c>
      <c r="F7">
        <f>(B24*98)/100</f>
        <v>4083.366</v>
      </c>
      <c r="G7" s="1">
        <v>98</v>
      </c>
    </row>
    <row r="8" spans="1:11" x14ac:dyDescent="0.25">
      <c r="A8" t="s">
        <v>12</v>
      </c>
      <c r="B8" s="1">
        <v>68</v>
      </c>
      <c r="C8" s="1">
        <f>((B8*B2)/100)</f>
        <v>217.9468</v>
      </c>
      <c r="D8" s="1"/>
      <c r="E8" t="s">
        <v>6</v>
      </c>
      <c r="F8" s="2">
        <f>SUM(F6:F7)</f>
        <v>4166.7</v>
      </c>
      <c r="G8">
        <f>SUM(G6:G7)</f>
        <v>100</v>
      </c>
    </row>
    <row r="9" spans="1:11" x14ac:dyDescent="0.25">
      <c r="A9" t="s">
        <v>11</v>
      </c>
      <c r="B9" s="1">
        <v>5</v>
      </c>
      <c r="C9" s="1">
        <f>((B9*B2)/100)</f>
        <v>16.025500000000001</v>
      </c>
      <c r="D9" s="1"/>
    </row>
    <row r="10" spans="1:11" x14ac:dyDescent="0.25">
      <c r="A10" t="s">
        <v>10</v>
      </c>
      <c r="B10" s="1">
        <v>2</v>
      </c>
      <c r="C10" s="1">
        <f>((B10*B2)/100)</f>
        <v>6.4101999999999997</v>
      </c>
      <c r="D10" s="1"/>
    </row>
    <row r="11" spans="1:11" x14ac:dyDescent="0.25">
      <c r="B11" s="1"/>
      <c r="C11" s="2">
        <f>SUM(C6:C10)</f>
        <v>320.51</v>
      </c>
      <c r="D11" s="1"/>
    </row>
    <row r="12" spans="1:11" x14ac:dyDescent="0.25">
      <c r="A12" t="s">
        <v>17</v>
      </c>
      <c r="B12" s="2">
        <v>233.68</v>
      </c>
    </row>
    <row r="14" spans="1:11" x14ac:dyDescent="0.25">
      <c r="A14" s="3" t="s">
        <v>25</v>
      </c>
      <c r="F14" s="1"/>
    </row>
    <row r="15" spans="1:11" x14ac:dyDescent="0.25">
      <c r="A15" s="12" t="s">
        <v>16</v>
      </c>
      <c r="B15" s="12"/>
      <c r="C15" s="12"/>
      <c r="E15" s="12" t="s">
        <v>5</v>
      </c>
      <c r="F15" s="12"/>
      <c r="G15" s="12"/>
      <c r="I15" s="12" t="s">
        <v>3</v>
      </c>
      <c r="J15" s="12"/>
      <c r="K15" s="12"/>
    </row>
    <row r="16" spans="1:11" x14ac:dyDescent="0.25">
      <c r="A16" t="s">
        <v>2</v>
      </c>
      <c r="B16" t="s">
        <v>15</v>
      </c>
      <c r="C16" t="s">
        <v>0</v>
      </c>
      <c r="E16" t="s">
        <v>2</v>
      </c>
      <c r="F16" t="s">
        <v>1</v>
      </c>
      <c r="G16" t="s">
        <v>0</v>
      </c>
      <c r="I16" t="s">
        <v>2</v>
      </c>
      <c r="J16" t="s">
        <v>1</v>
      </c>
      <c r="K16" t="s">
        <v>0</v>
      </c>
    </row>
    <row r="17" spans="1:11" x14ac:dyDescent="0.25">
      <c r="A17" t="s">
        <v>14</v>
      </c>
      <c r="B17">
        <v>4.2997120000000004</v>
      </c>
      <c r="C17">
        <v>1.84</v>
      </c>
      <c r="E17" t="s">
        <v>4</v>
      </c>
      <c r="F17" s="2">
        <v>4120.71</v>
      </c>
      <c r="G17">
        <v>100</v>
      </c>
      <c r="I17" t="s">
        <v>48</v>
      </c>
      <c r="J17" s="1">
        <v>131.78</v>
      </c>
      <c r="K17">
        <v>99</v>
      </c>
    </row>
    <row r="18" spans="1:11" x14ac:dyDescent="0.25">
      <c r="A18" t="s">
        <v>13</v>
      </c>
      <c r="B18">
        <v>1.1684000000000001</v>
      </c>
      <c r="C18">
        <v>0.5</v>
      </c>
      <c r="F18" s="1"/>
      <c r="I18" t="s">
        <v>4</v>
      </c>
      <c r="J18">
        <v>1.33</v>
      </c>
      <c r="K18">
        <v>1</v>
      </c>
    </row>
    <row r="19" spans="1:11" x14ac:dyDescent="0.25">
      <c r="A19" t="s">
        <v>12</v>
      </c>
      <c r="B19">
        <v>217.69628799999998</v>
      </c>
      <c r="C19">
        <v>93.16</v>
      </c>
      <c r="F19" s="1"/>
      <c r="J19" s="2">
        <v>133.12</v>
      </c>
    </row>
    <row r="20" spans="1:11" x14ac:dyDescent="0.25">
      <c r="A20" t="s">
        <v>11</v>
      </c>
      <c r="B20">
        <v>7.7114399999999996</v>
      </c>
      <c r="C20">
        <v>3.3</v>
      </c>
      <c r="F20" s="1"/>
    </row>
    <row r="21" spans="1:11" x14ac:dyDescent="0.25">
      <c r="A21" t="s">
        <v>10</v>
      </c>
      <c r="B21">
        <v>2.80416</v>
      </c>
      <c r="C21">
        <v>1.2</v>
      </c>
      <c r="F21" s="1"/>
    </row>
    <row r="22" spans="1:11" x14ac:dyDescent="0.25">
      <c r="A22" t="s">
        <v>6</v>
      </c>
      <c r="B22" s="2">
        <v>233.67999999999998</v>
      </c>
      <c r="C22">
        <v>100</v>
      </c>
      <c r="F22" s="1"/>
    </row>
    <row r="23" spans="1:11" x14ac:dyDescent="0.25">
      <c r="F23" s="1"/>
    </row>
    <row r="24" spans="1:11" x14ac:dyDescent="0.25">
      <c r="A24" s="10" t="s">
        <v>9</v>
      </c>
      <c r="B24" s="10">
        <v>4166.7</v>
      </c>
      <c r="C24" t="s">
        <v>1</v>
      </c>
      <c r="F24" s="1"/>
    </row>
    <row r="25" spans="1:11" x14ac:dyDescent="0.25">
      <c r="F25" s="1"/>
    </row>
    <row r="26" spans="1:11" s="7" customFormat="1" x14ac:dyDescent="0.25">
      <c r="A26" s="6" t="s">
        <v>21</v>
      </c>
      <c r="B26" s="6"/>
      <c r="C26" s="6"/>
    </row>
    <row r="27" spans="1:11" x14ac:dyDescent="0.25">
      <c r="A27" s="3" t="s">
        <v>23</v>
      </c>
      <c r="B27" s="3"/>
      <c r="C27" s="3"/>
    </row>
    <row r="28" spans="1:11" x14ac:dyDescent="0.25">
      <c r="A28" s="12" t="s">
        <v>18</v>
      </c>
      <c r="B28" s="12"/>
      <c r="C28" s="12"/>
      <c r="E28" s="12" t="s">
        <v>26</v>
      </c>
      <c r="F28" s="12"/>
      <c r="G28" s="12"/>
    </row>
    <row r="29" spans="1:11" x14ac:dyDescent="0.25">
      <c r="A29" t="s">
        <v>22</v>
      </c>
      <c r="B29" t="s">
        <v>0</v>
      </c>
      <c r="C29" t="s">
        <v>1</v>
      </c>
      <c r="E29" t="s">
        <v>2</v>
      </c>
      <c r="F29" t="s">
        <v>15</v>
      </c>
      <c r="G29" t="s">
        <v>0</v>
      </c>
    </row>
    <row r="30" spans="1:11" x14ac:dyDescent="0.25">
      <c r="A30" t="s">
        <v>14</v>
      </c>
      <c r="B30" s="1">
        <v>13</v>
      </c>
      <c r="C30" s="1">
        <f>((B30*$B$2)/100)</f>
        <v>41.6663</v>
      </c>
      <c r="E30" t="s">
        <v>14</v>
      </c>
      <c r="F30">
        <f>($C$37*G30)/100</f>
        <v>9.118169</v>
      </c>
      <c r="G30">
        <v>8.77</v>
      </c>
    </row>
    <row r="31" spans="1:11" x14ac:dyDescent="0.25">
      <c r="A31" t="s">
        <v>13</v>
      </c>
      <c r="B31" s="1">
        <v>12</v>
      </c>
      <c r="C31" s="1">
        <f t="shared" ref="C31:C34" si="0">((B31*$B$2)/100)</f>
        <v>38.461199999999998</v>
      </c>
      <c r="E31" t="s">
        <v>13</v>
      </c>
      <c r="F31">
        <f t="shared" ref="F31:F32" si="1">($C$37*G31)/100</f>
        <v>67.206208000000004</v>
      </c>
      <c r="G31">
        <v>64.64</v>
      </c>
    </row>
    <row r="32" spans="1:11" x14ac:dyDescent="0.25">
      <c r="A32" t="s">
        <v>12</v>
      </c>
      <c r="B32" s="1">
        <v>68</v>
      </c>
      <c r="C32" s="1">
        <f t="shared" si="0"/>
        <v>217.9468</v>
      </c>
      <c r="E32" t="s">
        <v>27</v>
      </c>
      <c r="F32">
        <f t="shared" si="1"/>
        <v>27.656020000000002</v>
      </c>
      <c r="G32">
        <v>26.6</v>
      </c>
    </row>
    <row r="33" spans="1:7" x14ac:dyDescent="0.25">
      <c r="A33" t="s">
        <v>11</v>
      </c>
      <c r="B33" s="1">
        <v>5</v>
      </c>
      <c r="C33" s="1">
        <f t="shared" si="0"/>
        <v>16.025500000000001</v>
      </c>
      <c r="F33" s="2">
        <f>SUM(F30:F32)</f>
        <v>103.980397</v>
      </c>
    </row>
    <row r="34" spans="1:7" x14ac:dyDescent="0.25">
      <c r="A34" t="s">
        <v>10</v>
      </c>
      <c r="B34" s="1">
        <v>2</v>
      </c>
      <c r="C34" s="1">
        <f t="shared" si="0"/>
        <v>6.4101999999999997</v>
      </c>
    </row>
    <row r="35" spans="1:7" x14ac:dyDescent="0.25">
      <c r="C35" s="2">
        <f>SUM(C30:C34)</f>
        <v>320.51</v>
      </c>
      <c r="D35" s="4"/>
    </row>
    <row r="36" spans="1:7" x14ac:dyDescent="0.25">
      <c r="C36" s="1"/>
      <c r="D36" s="4"/>
    </row>
    <row r="37" spans="1:7" x14ac:dyDescent="0.25">
      <c r="B37" s="10" t="s">
        <v>28</v>
      </c>
      <c r="C37" s="10">
        <v>103.97</v>
      </c>
      <c r="D37" t="s">
        <v>1</v>
      </c>
      <c r="E37" s="10" t="s">
        <v>29</v>
      </c>
      <c r="F37" s="10">
        <v>190.44</v>
      </c>
      <c r="G37" t="s">
        <v>1</v>
      </c>
    </row>
    <row r="38" spans="1:7" x14ac:dyDescent="0.25">
      <c r="D38" s="1"/>
    </row>
    <row r="39" spans="1:7" x14ac:dyDescent="0.25">
      <c r="A39" s="3" t="s">
        <v>30</v>
      </c>
      <c r="D39" s="1"/>
    </row>
    <row r="40" spans="1:7" x14ac:dyDescent="0.25">
      <c r="A40" s="12" t="s">
        <v>32</v>
      </c>
      <c r="B40" s="12"/>
      <c r="C40" s="12"/>
      <c r="E40" s="12" t="s">
        <v>31</v>
      </c>
      <c r="F40" s="12"/>
      <c r="G40" s="12"/>
    </row>
    <row r="41" spans="1:7" x14ac:dyDescent="0.25">
      <c r="A41" t="str">
        <f t="shared" ref="A41:C47" si="2">A16</f>
        <v>Component</v>
      </c>
      <c r="B41" t="str">
        <f t="shared" si="2"/>
        <v>kgmole/hr</v>
      </c>
      <c r="C41" t="str">
        <f t="shared" si="2"/>
        <v>Mole %</v>
      </c>
      <c r="E41" t="s">
        <v>2</v>
      </c>
      <c r="F41" t="s">
        <v>15</v>
      </c>
      <c r="G41" s="8" t="s">
        <v>0</v>
      </c>
    </row>
    <row r="42" spans="1:7" x14ac:dyDescent="0.25">
      <c r="A42" t="str">
        <f t="shared" si="2"/>
        <v>CO2</v>
      </c>
      <c r="B42">
        <f t="shared" si="2"/>
        <v>4.2997120000000004</v>
      </c>
      <c r="C42">
        <f t="shared" si="2"/>
        <v>1.84</v>
      </c>
      <c r="D42" s="4"/>
      <c r="E42" t="s">
        <v>4</v>
      </c>
      <c r="F42">
        <f>($F$37*G42)/100</f>
        <v>104.45634</v>
      </c>
      <c r="G42" s="9">
        <v>54.85</v>
      </c>
    </row>
    <row r="43" spans="1:7" x14ac:dyDescent="0.25">
      <c r="A43" t="str">
        <f t="shared" si="2"/>
        <v>H20</v>
      </c>
      <c r="B43">
        <f t="shared" si="2"/>
        <v>1.1684000000000001</v>
      </c>
      <c r="C43">
        <f t="shared" si="2"/>
        <v>0.5</v>
      </c>
      <c r="E43" t="s">
        <v>14</v>
      </c>
      <c r="F43">
        <f t="shared" ref="F43:F44" si="3">($F$37*G43)/100</f>
        <v>42.982308000000003</v>
      </c>
      <c r="G43" s="9">
        <v>22.57</v>
      </c>
    </row>
    <row r="44" spans="1:7" x14ac:dyDescent="0.25">
      <c r="A44" t="str">
        <f t="shared" si="2"/>
        <v>N2</v>
      </c>
      <c r="B44">
        <f t="shared" si="2"/>
        <v>217.69628799999998</v>
      </c>
      <c r="C44">
        <f t="shared" si="2"/>
        <v>93.16</v>
      </c>
      <c r="E44" t="s">
        <v>27</v>
      </c>
      <c r="F44">
        <f t="shared" si="3"/>
        <v>43.001351999999997</v>
      </c>
      <c r="G44" s="9">
        <v>22.58</v>
      </c>
    </row>
    <row r="45" spans="1:7" x14ac:dyDescent="0.25">
      <c r="A45" t="str">
        <f t="shared" si="2"/>
        <v>O2</v>
      </c>
      <c r="B45">
        <f t="shared" si="2"/>
        <v>7.7114399999999996</v>
      </c>
      <c r="C45" s="13">
        <f t="shared" si="2"/>
        <v>3.3</v>
      </c>
      <c r="D45" s="13"/>
      <c r="E45" s="13"/>
      <c r="F45" s="2">
        <f>SUM(F42:F44)</f>
        <v>190.44</v>
      </c>
    </row>
    <row r="46" spans="1:7" x14ac:dyDescent="0.25">
      <c r="A46" t="str">
        <f t="shared" si="2"/>
        <v>Ar</v>
      </c>
      <c r="B46">
        <f t="shared" si="2"/>
        <v>2.80416</v>
      </c>
      <c r="C46">
        <f t="shared" si="2"/>
        <v>1.2</v>
      </c>
      <c r="D46" s="4"/>
    </row>
    <row r="47" spans="1:7" x14ac:dyDescent="0.25">
      <c r="A47" t="str">
        <f t="shared" si="2"/>
        <v>Total</v>
      </c>
      <c r="B47" s="2">
        <f t="shared" si="2"/>
        <v>233.67999999999998</v>
      </c>
      <c r="C47">
        <f t="shared" si="2"/>
        <v>100</v>
      </c>
    </row>
    <row r="49" spans="1:8" s="7" customFormat="1" x14ac:dyDescent="0.25">
      <c r="A49" s="6" t="s">
        <v>21</v>
      </c>
      <c r="B49" s="6" t="s">
        <v>33</v>
      </c>
      <c r="C49" s="6"/>
    </row>
    <row r="50" spans="1:8" x14ac:dyDescent="0.25">
      <c r="A50" s="3" t="s">
        <v>24</v>
      </c>
    </row>
    <row r="51" spans="1:8" x14ac:dyDescent="0.25">
      <c r="A51" s="12" t="s">
        <v>31</v>
      </c>
      <c r="B51" s="12"/>
      <c r="C51" s="12"/>
    </row>
    <row r="52" spans="1:8" x14ac:dyDescent="0.25">
      <c r="A52" t="s">
        <v>2</v>
      </c>
      <c r="B52" t="s">
        <v>15</v>
      </c>
      <c r="C52" s="8" t="s">
        <v>0</v>
      </c>
    </row>
    <row r="53" spans="1:8" x14ac:dyDescent="0.25">
      <c r="A53" t="s">
        <v>4</v>
      </c>
      <c r="B53">
        <f>($F$37*C53)/100</f>
        <v>104.45634</v>
      </c>
      <c r="C53" s="9">
        <v>54.85</v>
      </c>
    </row>
    <row r="54" spans="1:8" x14ac:dyDescent="0.25">
      <c r="A54" t="s">
        <v>14</v>
      </c>
      <c r="B54">
        <f t="shared" ref="B54:B55" si="4">($F$37*C54)/100</f>
        <v>42.982308000000003</v>
      </c>
      <c r="C54" s="9">
        <v>22.57</v>
      </c>
    </row>
    <row r="55" spans="1:8" x14ac:dyDescent="0.25">
      <c r="A55" t="s">
        <v>27</v>
      </c>
      <c r="B55">
        <f t="shared" si="4"/>
        <v>43.001351999999997</v>
      </c>
      <c r="C55" s="9">
        <v>22.58</v>
      </c>
    </row>
    <row r="56" spans="1:8" x14ac:dyDescent="0.25">
      <c r="B56" s="2">
        <f>SUM(B53:B55)</f>
        <v>190.44</v>
      </c>
      <c r="F56" s="10" t="s">
        <v>34</v>
      </c>
      <c r="G56" s="10">
        <v>86.57</v>
      </c>
      <c r="H56" t="s">
        <v>1</v>
      </c>
    </row>
    <row r="58" spans="1:8" x14ac:dyDescent="0.25">
      <c r="A58" s="3" t="s">
        <v>30</v>
      </c>
    </row>
    <row r="59" spans="1:8" x14ac:dyDescent="0.25">
      <c r="A59" s="12" t="s">
        <v>26</v>
      </c>
      <c r="B59" s="12"/>
      <c r="C59" s="12"/>
      <c r="E59" s="12" t="s">
        <v>35</v>
      </c>
      <c r="F59" s="12"/>
      <c r="G59" s="12"/>
    </row>
    <row r="60" spans="1:8" x14ac:dyDescent="0.25">
      <c r="A60" t="s">
        <v>2</v>
      </c>
      <c r="B60" t="s">
        <v>15</v>
      </c>
      <c r="C60" t="s">
        <v>0</v>
      </c>
      <c r="E60" t="s">
        <v>2</v>
      </c>
      <c r="F60" t="s">
        <v>15</v>
      </c>
      <c r="G60" t="s">
        <v>0</v>
      </c>
    </row>
    <row r="61" spans="1:8" x14ac:dyDescent="0.25">
      <c r="A61" t="s">
        <v>14</v>
      </c>
      <c r="B61">
        <f>($C$37*C61)/100</f>
        <v>9.118169</v>
      </c>
      <c r="C61">
        <v>8.77</v>
      </c>
      <c r="E61" t="s">
        <v>14</v>
      </c>
      <c r="F61">
        <f>($G$56*G61)/100</f>
        <v>85.704299999999989</v>
      </c>
      <c r="G61">
        <v>99</v>
      </c>
    </row>
    <row r="62" spans="1:8" x14ac:dyDescent="0.25">
      <c r="A62" t="s">
        <v>13</v>
      </c>
      <c r="B62">
        <f t="shared" ref="B62:B63" si="5">($C$37*C62)/100</f>
        <v>67.206208000000004</v>
      </c>
      <c r="C62">
        <v>64.64</v>
      </c>
      <c r="E62" t="s">
        <v>13</v>
      </c>
      <c r="F62">
        <f>($G$56*G62)/100</f>
        <v>0.86569999999999991</v>
      </c>
      <c r="G62">
        <v>1</v>
      </c>
    </row>
    <row r="63" spans="1:8" x14ac:dyDescent="0.25">
      <c r="A63" t="s">
        <v>27</v>
      </c>
      <c r="B63">
        <f t="shared" si="5"/>
        <v>27.656020000000002</v>
      </c>
      <c r="C63">
        <v>26.6</v>
      </c>
      <c r="F63" s="2">
        <f>SUM(F61:F62)</f>
        <v>86.57</v>
      </c>
    </row>
    <row r="64" spans="1:8" x14ac:dyDescent="0.25">
      <c r="B64" s="2">
        <f>SUM(B61:B63)</f>
        <v>103.980397</v>
      </c>
    </row>
    <row r="66" spans="1:7" s="7" customFormat="1" x14ac:dyDescent="0.25">
      <c r="A66" s="6" t="s">
        <v>21</v>
      </c>
      <c r="B66" s="6" t="s">
        <v>36</v>
      </c>
      <c r="C66" s="6"/>
    </row>
    <row r="67" spans="1:7" x14ac:dyDescent="0.25">
      <c r="A67" s="3" t="s">
        <v>23</v>
      </c>
    </row>
    <row r="68" spans="1:7" x14ac:dyDescent="0.25">
      <c r="A68" s="12" t="s">
        <v>8</v>
      </c>
      <c r="B68" s="12"/>
      <c r="C68" s="12"/>
      <c r="E68" s="12" t="s">
        <v>35</v>
      </c>
      <c r="F68" s="12"/>
      <c r="G68" s="12"/>
    </row>
    <row r="69" spans="1:7" x14ac:dyDescent="0.25">
      <c r="A69" t="s">
        <v>2</v>
      </c>
      <c r="B69" t="s">
        <v>1</v>
      </c>
      <c r="C69" t="s">
        <v>0</v>
      </c>
      <c r="E69" t="s">
        <v>2</v>
      </c>
      <c r="F69" t="s">
        <v>15</v>
      </c>
      <c r="G69" t="s">
        <v>0</v>
      </c>
    </row>
    <row r="70" spans="1:7" x14ac:dyDescent="0.25">
      <c r="A70" t="s">
        <v>7</v>
      </c>
      <c r="B70">
        <f>($B$24*C70)/100</f>
        <v>83.334000000000003</v>
      </c>
      <c r="C70" s="1">
        <v>2</v>
      </c>
      <c r="E70" t="s">
        <v>14</v>
      </c>
      <c r="F70">
        <f>($G$56*G70)/100</f>
        <v>85.704299999999989</v>
      </c>
      <c r="G70">
        <v>99</v>
      </c>
    </row>
    <row r="71" spans="1:7" x14ac:dyDescent="0.25">
      <c r="A71" t="s">
        <v>4</v>
      </c>
      <c r="B71">
        <f>($B$24*C71)/100</f>
        <v>4083.366</v>
      </c>
      <c r="C71" s="1">
        <v>98</v>
      </c>
      <c r="E71" t="s">
        <v>13</v>
      </c>
      <c r="F71">
        <f>($G$56*G71)/100</f>
        <v>0.86569999999999991</v>
      </c>
      <c r="G71">
        <v>1</v>
      </c>
    </row>
    <row r="72" spans="1:7" x14ac:dyDescent="0.25">
      <c r="A72" t="s">
        <v>6</v>
      </c>
      <c r="B72" s="2">
        <f>SUM(B70:B71)</f>
        <v>4166.7</v>
      </c>
      <c r="C72">
        <f>SUM(C70:C71)</f>
        <v>100</v>
      </c>
      <c r="F72" s="2">
        <f>SUM(F70:F71)</f>
        <v>86.57</v>
      </c>
    </row>
    <row r="74" spans="1:7" x14ac:dyDescent="0.25">
      <c r="B74" s="10" t="s">
        <v>41</v>
      </c>
      <c r="C74" s="10">
        <v>4253.2700000000004</v>
      </c>
      <c r="D74" t="s">
        <v>1</v>
      </c>
    </row>
    <row r="75" spans="1:7" x14ac:dyDescent="0.25">
      <c r="A75" s="3" t="s">
        <v>30</v>
      </c>
    </row>
    <row r="76" spans="1:7" x14ac:dyDescent="0.25">
      <c r="A76" s="12" t="s">
        <v>43</v>
      </c>
      <c r="B76" s="12"/>
      <c r="C76" s="12"/>
    </row>
    <row r="77" spans="1:7" x14ac:dyDescent="0.25">
      <c r="A77" t="s">
        <v>2</v>
      </c>
      <c r="B77" t="s">
        <v>15</v>
      </c>
      <c r="C77" t="s">
        <v>0</v>
      </c>
    </row>
    <row r="78" spans="1:7" x14ac:dyDescent="0.25">
      <c r="A78" t="s">
        <v>37</v>
      </c>
      <c r="B78">
        <f>($C$74*C78)/100</f>
        <v>42.532700000000006</v>
      </c>
      <c r="C78">
        <v>1</v>
      </c>
    </row>
    <row r="79" spans="1:7" x14ac:dyDescent="0.25">
      <c r="A79" t="s">
        <v>38</v>
      </c>
      <c r="B79">
        <f t="shared" ref="B79:B82" si="6">($C$74*C79)/100</f>
        <v>2.4243639000000003</v>
      </c>
      <c r="C79">
        <v>5.7000000000000002E-2</v>
      </c>
    </row>
    <row r="80" spans="1:7" x14ac:dyDescent="0.25">
      <c r="A80" t="s">
        <v>39</v>
      </c>
      <c r="B80">
        <f t="shared" si="6"/>
        <v>11.058502000000001</v>
      </c>
      <c r="C80">
        <v>0.26</v>
      </c>
    </row>
    <row r="81" spans="1:6" x14ac:dyDescent="0.25">
      <c r="A81" t="s">
        <v>40</v>
      </c>
      <c r="B81">
        <f t="shared" si="6"/>
        <v>18.289061</v>
      </c>
      <c r="C81">
        <v>0.43</v>
      </c>
    </row>
    <row r="82" spans="1:6" x14ac:dyDescent="0.25">
      <c r="A82" t="s">
        <v>4</v>
      </c>
      <c r="B82">
        <f t="shared" si="6"/>
        <v>4178.9653731000008</v>
      </c>
      <c r="C82">
        <v>98.253</v>
      </c>
    </row>
    <row r="83" spans="1:6" x14ac:dyDescent="0.25">
      <c r="B83" s="2">
        <f>SUM(B78:B82)</f>
        <v>4253.2700000000004</v>
      </c>
    </row>
    <row r="85" spans="1:6" s="7" customFormat="1" x14ac:dyDescent="0.25">
      <c r="A85" s="6" t="s">
        <v>21</v>
      </c>
      <c r="B85" s="6" t="s">
        <v>42</v>
      </c>
      <c r="C85" s="6"/>
    </row>
    <row r="86" spans="1:6" x14ac:dyDescent="0.25">
      <c r="A86" s="3" t="s">
        <v>23</v>
      </c>
    </row>
    <row r="87" spans="1:6" x14ac:dyDescent="0.25">
      <c r="A87" s="12" t="s">
        <v>43</v>
      </c>
      <c r="B87" s="12"/>
      <c r="C87" s="12"/>
    </row>
    <row r="88" spans="1:6" x14ac:dyDescent="0.25">
      <c r="A88" t="s">
        <v>2</v>
      </c>
      <c r="B88" t="s">
        <v>15</v>
      </c>
      <c r="C88" t="s">
        <v>0</v>
      </c>
    </row>
    <row r="89" spans="1:6" x14ac:dyDescent="0.25">
      <c r="A89" t="s">
        <v>37</v>
      </c>
      <c r="B89">
        <f>($C$74*C89)/100</f>
        <v>42.532700000000006</v>
      </c>
      <c r="C89">
        <v>1</v>
      </c>
    </row>
    <row r="90" spans="1:6" x14ac:dyDescent="0.25">
      <c r="A90" t="s">
        <v>38</v>
      </c>
      <c r="B90">
        <f t="shared" ref="B90:B93" si="7">($C$74*C90)/100</f>
        <v>2.4243639000000003</v>
      </c>
      <c r="C90">
        <v>5.7000000000000002E-2</v>
      </c>
    </row>
    <row r="91" spans="1:6" x14ac:dyDescent="0.25">
      <c r="A91" t="s">
        <v>39</v>
      </c>
      <c r="B91">
        <f t="shared" si="7"/>
        <v>11.058502000000001</v>
      </c>
      <c r="C91">
        <v>0.26</v>
      </c>
    </row>
    <row r="92" spans="1:6" x14ac:dyDescent="0.25">
      <c r="A92" t="s">
        <v>40</v>
      </c>
      <c r="B92">
        <f t="shared" si="7"/>
        <v>18.289061</v>
      </c>
      <c r="C92">
        <v>0.43</v>
      </c>
    </row>
    <row r="93" spans="1:6" x14ac:dyDescent="0.25">
      <c r="A93" t="s">
        <v>4</v>
      </c>
      <c r="B93">
        <f t="shared" si="7"/>
        <v>4178.9653731000008</v>
      </c>
      <c r="C93">
        <v>98.253</v>
      </c>
    </row>
    <row r="94" spans="1:6" x14ac:dyDescent="0.25">
      <c r="B94" s="2">
        <f>SUM(B89:B93)</f>
        <v>4253.2700000000004</v>
      </c>
    </row>
    <row r="96" spans="1:6" x14ac:dyDescent="0.25">
      <c r="A96" s="10" t="s">
        <v>45</v>
      </c>
      <c r="B96" s="10">
        <v>2127.04</v>
      </c>
      <c r="C96" t="s">
        <v>1</v>
      </c>
      <c r="D96" s="10" t="s">
        <v>46</v>
      </c>
      <c r="E96" s="10">
        <v>2126.66</v>
      </c>
      <c r="F96" t="s">
        <v>1</v>
      </c>
    </row>
    <row r="97" spans="1:7" x14ac:dyDescent="0.25">
      <c r="A97" s="3" t="s">
        <v>30</v>
      </c>
    </row>
    <row r="98" spans="1:7" x14ac:dyDescent="0.25">
      <c r="A98" s="12" t="s">
        <v>44</v>
      </c>
      <c r="B98" s="12"/>
      <c r="C98" s="12"/>
      <c r="E98" s="12" t="s">
        <v>49</v>
      </c>
      <c r="F98" s="12"/>
      <c r="G98" s="12"/>
    </row>
    <row r="99" spans="1:7" x14ac:dyDescent="0.25">
      <c r="A99" t="s">
        <v>2</v>
      </c>
      <c r="B99" t="s">
        <v>15</v>
      </c>
      <c r="C99" t="s">
        <v>0</v>
      </c>
      <c r="E99" t="s">
        <v>2</v>
      </c>
      <c r="F99" t="s">
        <v>15</v>
      </c>
      <c r="G99" t="s">
        <v>0</v>
      </c>
    </row>
    <row r="100" spans="1:7" x14ac:dyDescent="0.25">
      <c r="A100" t="s">
        <v>40</v>
      </c>
      <c r="B100">
        <f>($B$96*C100)/100</f>
        <v>10.635199999999999</v>
      </c>
      <c r="C100">
        <v>0.5</v>
      </c>
      <c r="E100" t="s">
        <v>39</v>
      </c>
      <c r="F100">
        <f>($E$96*G100)/100</f>
        <v>1.9139939999999998</v>
      </c>
      <c r="G100">
        <v>0.09</v>
      </c>
    </row>
    <row r="101" spans="1:7" x14ac:dyDescent="0.25">
      <c r="A101" t="s">
        <v>37</v>
      </c>
      <c r="B101">
        <f t="shared" ref="B101:B102" si="8">($B$96*C101)/100</f>
        <v>42.540799999999997</v>
      </c>
      <c r="C101">
        <v>2</v>
      </c>
      <c r="E101" t="s">
        <v>38</v>
      </c>
      <c r="F101">
        <f t="shared" ref="F101:F102" si="9">($E$96*G101)/100</f>
        <v>8.5066399999999991</v>
      </c>
      <c r="G101">
        <v>0.4</v>
      </c>
    </row>
    <row r="102" spans="1:7" x14ac:dyDescent="0.25">
      <c r="A102" t="s">
        <v>4</v>
      </c>
      <c r="B102">
        <f t="shared" si="8"/>
        <v>2073.864</v>
      </c>
      <c r="C102">
        <v>97.5</v>
      </c>
      <c r="E102" t="s">
        <v>4</v>
      </c>
      <c r="F102">
        <f t="shared" si="9"/>
        <v>2116.2393659999998</v>
      </c>
      <c r="G102">
        <v>99.51</v>
      </c>
    </row>
    <row r="103" spans="1:7" x14ac:dyDescent="0.25">
      <c r="B103" s="2">
        <f>SUM(B100:B102)</f>
        <v>2127.04</v>
      </c>
      <c r="F103" s="2">
        <f>SUM(F100:F102)</f>
        <v>2126.66</v>
      </c>
    </row>
    <row r="105" spans="1:7" s="7" customFormat="1" x14ac:dyDescent="0.25">
      <c r="A105" s="6" t="s">
        <v>21</v>
      </c>
      <c r="B105" s="6" t="s">
        <v>47</v>
      </c>
      <c r="C105" s="6"/>
    </row>
    <row r="106" spans="1:7" x14ac:dyDescent="0.25">
      <c r="A106" s="3" t="s">
        <v>23</v>
      </c>
    </row>
    <row r="107" spans="1:7" x14ac:dyDescent="0.25">
      <c r="A107" s="12" t="s">
        <v>49</v>
      </c>
      <c r="B107" s="12"/>
      <c r="C107" s="12"/>
      <c r="E107" s="12" t="s">
        <v>35</v>
      </c>
      <c r="F107" s="12"/>
      <c r="G107" s="12"/>
    </row>
    <row r="108" spans="1:7" x14ac:dyDescent="0.25">
      <c r="A108" t="s">
        <v>2</v>
      </c>
      <c r="B108" t="s">
        <v>15</v>
      </c>
      <c r="C108" t="s">
        <v>0</v>
      </c>
      <c r="E108" t="s">
        <v>2</v>
      </c>
      <c r="F108" t="s">
        <v>15</v>
      </c>
      <c r="G108" t="s">
        <v>0</v>
      </c>
    </row>
    <row r="109" spans="1:7" x14ac:dyDescent="0.25">
      <c r="A109" t="s">
        <v>39</v>
      </c>
      <c r="B109">
        <f>($E$96*C109)/100</f>
        <v>1.9139939999999998</v>
      </c>
      <c r="C109">
        <v>0.09</v>
      </c>
      <c r="E109" t="s">
        <v>14</v>
      </c>
      <c r="F109">
        <f>($G$56*G109)/100</f>
        <v>85.704299999999989</v>
      </c>
      <c r="G109">
        <v>99</v>
      </c>
    </row>
    <row r="110" spans="1:7" x14ac:dyDescent="0.25">
      <c r="A110" t="s">
        <v>38</v>
      </c>
      <c r="B110">
        <f t="shared" ref="B110:B111" si="10">($E$96*C110)/100</f>
        <v>8.5066399999999991</v>
      </c>
      <c r="C110">
        <v>0.4</v>
      </c>
      <c r="E110" t="s">
        <v>13</v>
      </c>
      <c r="F110">
        <f>($G$56*G110)/100</f>
        <v>0.86569999999999991</v>
      </c>
      <c r="G110">
        <v>1</v>
      </c>
    </row>
    <row r="111" spans="1:7" x14ac:dyDescent="0.25">
      <c r="A111" t="s">
        <v>4</v>
      </c>
      <c r="B111">
        <f t="shared" si="10"/>
        <v>2116.2393659999998</v>
      </c>
      <c r="C111">
        <v>99.51</v>
      </c>
      <c r="F111" s="2">
        <f>SUM(F109:F110)</f>
        <v>86.57</v>
      </c>
    </row>
    <row r="112" spans="1:7" x14ac:dyDescent="0.25">
      <c r="B112" s="2">
        <f>SUM(B109:B111)</f>
        <v>2126.66</v>
      </c>
    </row>
    <row r="113" spans="1:6" x14ac:dyDescent="0.25">
      <c r="D113" s="10" t="s">
        <v>51</v>
      </c>
      <c r="E113" s="10">
        <v>2213.21</v>
      </c>
      <c r="F113" t="s">
        <v>1</v>
      </c>
    </row>
    <row r="114" spans="1:6" x14ac:dyDescent="0.25">
      <c r="A114" s="3" t="s">
        <v>30</v>
      </c>
    </row>
    <row r="115" spans="1:6" x14ac:dyDescent="0.25">
      <c r="A115" s="12" t="s">
        <v>50</v>
      </c>
      <c r="B115" s="12"/>
      <c r="C115" s="12"/>
    </row>
    <row r="116" spans="1:6" x14ac:dyDescent="0.25">
      <c r="A116" t="s">
        <v>2</v>
      </c>
      <c r="B116" t="s">
        <v>15</v>
      </c>
      <c r="C116" t="s">
        <v>0</v>
      </c>
    </row>
    <row r="117" spans="1:6" x14ac:dyDescent="0.25">
      <c r="A117" t="s">
        <v>48</v>
      </c>
      <c r="B117">
        <f>($E$113*C117)/100</f>
        <v>9.5168029999999995</v>
      </c>
      <c r="C117">
        <v>0.43</v>
      </c>
    </row>
    <row r="118" spans="1:6" x14ac:dyDescent="0.25">
      <c r="A118" t="s">
        <v>4</v>
      </c>
      <c r="B118">
        <f>($E$113*C118)/100</f>
        <v>2203.4718760000001</v>
      </c>
      <c r="C118">
        <v>99.56</v>
      </c>
    </row>
    <row r="119" spans="1:6" x14ac:dyDescent="0.25">
      <c r="B119" s="2">
        <f>SUM(B117:B118)</f>
        <v>2212.988679</v>
      </c>
    </row>
    <row r="121" spans="1:6" s="7" customFormat="1" x14ac:dyDescent="0.25">
      <c r="A121" s="6" t="s">
        <v>21</v>
      </c>
      <c r="B121" s="6" t="s">
        <v>52</v>
      </c>
      <c r="C121" s="6"/>
    </row>
    <row r="122" spans="1:6" x14ac:dyDescent="0.25">
      <c r="A122" s="3" t="s">
        <v>23</v>
      </c>
    </row>
    <row r="123" spans="1:6" x14ac:dyDescent="0.25">
      <c r="A123" s="12" t="s">
        <v>50</v>
      </c>
      <c r="B123" s="12"/>
      <c r="C123" s="12"/>
    </row>
    <row r="124" spans="1:6" x14ac:dyDescent="0.25">
      <c r="A124" t="s">
        <v>2</v>
      </c>
      <c r="B124" t="s">
        <v>15</v>
      </c>
      <c r="C124" t="s">
        <v>0</v>
      </c>
    </row>
    <row r="125" spans="1:6" x14ac:dyDescent="0.25">
      <c r="A125" t="s">
        <v>48</v>
      </c>
      <c r="B125">
        <f>($E$113*C125)/100</f>
        <v>9.5168029999999995</v>
      </c>
      <c r="C125">
        <v>0.43</v>
      </c>
    </row>
    <row r="126" spans="1:6" x14ac:dyDescent="0.25">
      <c r="A126" t="s">
        <v>4</v>
      </c>
      <c r="B126">
        <f>($E$113*C126)/100</f>
        <v>2203.4718760000001</v>
      </c>
      <c r="C126">
        <v>99.56</v>
      </c>
    </row>
    <row r="127" spans="1:6" x14ac:dyDescent="0.25">
      <c r="B127" s="2">
        <f>SUM(B125:B126)</f>
        <v>2212.988679</v>
      </c>
    </row>
    <row r="128" spans="1:6" x14ac:dyDescent="0.25">
      <c r="C128" s="10" t="s">
        <v>54</v>
      </c>
      <c r="D128" s="10">
        <v>2080.09</v>
      </c>
      <c r="E128" t="s">
        <v>1</v>
      </c>
    </row>
    <row r="129" spans="1:7" x14ac:dyDescent="0.25">
      <c r="A129" s="3" t="s">
        <v>30</v>
      </c>
    </row>
    <row r="130" spans="1:7" x14ac:dyDescent="0.25">
      <c r="A130" s="12" t="s">
        <v>53</v>
      </c>
      <c r="B130" s="12"/>
      <c r="C130" s="12"/>
      <c r="E130" s="12" t="s">
        <v>55</v>
      </c>
      <c r="F130" s="12"/>
      <c r="G130" s="12"/>
    </row>
    <row r="131" spans="1:7" x14ac:dyDescent="0.25">
      <c r="A131" t="s">
        <v>2</v>
      </c>
      <c r="B131" t="s">
        <v>15</v>
      </c>
      <c r="C131" t="s">
        <v>0</v>
      </c>
      <c r="E131" t="s">
        <v>2</v>
      </c>
      <c r="F131" t="s">
        <v>15</v>
      </c>
      <c r="G131" t="s">
        <v>0</v>
      </c>
    </row>
    <row r="132" spans="1:7" x14ac:dyDescent="0.25">
      <c r="A132" t="s">
        <v>48</v>
      </c>
      <c r="B132">
        <f>($D$128*C132)/100</f>
        <v>4.1601800000000004</v>
      </c>
      <c r="C132">
        <v>0.2</v>
      </c>
      <c r="E132" t="s">
        <v>48</v>
      </c>
      <c r="F132">
        <f>($J$17*G132)/100</f>
        <v>130.4622</v>
      </c>
      <c r="G132">
        <v>99</v>
      </c>
    </row>
    <row r="133" spans="1:7" x14ac:dyDescent="0.25">
      <c r="A133" t="s">
        <v>4</v>
      </c>
      <c r="B133">
        <f>($D$128*C133)/100</f>
        <v>2070.9376040000002</v>
      </c>
      <c r="C133">
        <v>99.56</v>
      </c>
      <c r="E133" t="s">
        <v>4</v>
      </c>
      <c r="F133">
        <f>($J$17*G133)/100</f>
        <v>1.3178000000000001</v>
      </c>
      <c r="G133">
        <v>1</v>
      </c>
    </row>
    <row r="134" spans="1:7" x14ac:dyDescent="0.25">
      <c r="B134" s="2">
        <f>SUM(B132:B133)</f>
        <v>2075.097784</v>
      </c>
      <c r="F134" s="2">
        <f>SUM(F132:F133)</f>
        <v>131.78</v>
      </c>
    </row>
  </sheetData>
  <mergeCells count="25">
    <mergeCell ref="A123:C123"/>
    <mergeCell ref="A130:C130"/>
    <mergeCell ref="E130:G130"/>
    <mergeCell ref="C45:E45"/>
    <mergeCell ref="A28:C28"/>
    <mergeCell ref="E28:G28"/>
    <mergeCell ref="E40:G40"/>
    <mergeCell ref="A40:C40"/>
    <mergeCell ref="I15:K15"/>
    <mergeCell ref="A4:C4"/>
    <mergeCell ref="A15:C15"/>
    <mergeCell ref="E4:G4"/>
    <mergeCell ref="E15:G15"/>
    <mergeCell ref="A51:C51"/>
    <mergeCell ref="A59:C59"/>
    <mergeCell ref="E59:G59"/>
    <mergeCell ref="A68:C68"/>
    <mergeCell ref="E68:G68"/>
    <mergeCell ref="A115:C115"/>
    <mergeCell ref="A76:C76"/>
    <mergeCell ref="A87:C87"/>
    <mergeCell ref="A98:C98"/>
    <mergeCell ref="E98:G98"/>
    <mergeCell ref="A107:C107"/>
    <mergeCell ref="E107:G10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723BB3C891D84C8C5B1268591CE9CC" ma:contentTypeVersion="4" ma:contentTypeDescription="Create a new document." ma:contentTypeScope="" ma:versionID="8c883b1b957501f494994fbca5a86207">
  <xsd:schema xmlns:xsd="http://www.w3.org/2001/XMLSchema" xmlns:xs="http://www.w3.org/2001/XMLSchema" xmlns:p="http://schemas.microsoft.com/office/2006/metadata/properties" xmlns:ns3="da7bb1e2-1691-4b7c-be13-df49d65836cb" targetNamespace="http://schemas.microsoft.com/office/2006/metadata/properties" ma:root="true" ma:fieldsID="d5aabef410c09614554643beb8b00ea7" ns3:_="">
    <xsd:import namespace="da7bb1e2-1691-4b7c-be13-df49d65836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7bb1e2-1691-4b7c-be13-df49d65836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36FF7C-175C-490E-9F8E-7B02855C57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7bb1e2-1691-4b7c-be13-df49d65836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67A3AB-9BFB-40F7-A89A-F601FC2498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327869-DE3D-44E5-B3D4-36F993D548D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da7bb1e2-1691-4b7c-be13-df49d65836cb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Sarmad Hashmi</dc:creator>
  <cp:lastModifiedBy>Sarmad Hashmi</cp:lastModifiedBy>
  <dcterms:created xsi:type="dcterms:W3CDTF">2021-01-18T08:01:46Z</dcterms:created>
  <dcterms:modified xsi:type="dcterms:W3CDTF">2021-03-30T04:14:38Z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0x010100B7723BB3C891D84C8C5B1268591CE9CC</vt:lpwstr>
  </property>
</Properties>
</file>